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Changes" sheetId="2" state="visible" r:id="rId2"/>
    <sheet name="New places" sheetId="3" state="visible" r:id="rId3"/>
    <sheet name="Skipped" sheetId="4" state="visible" r:id="rId4"/>
  </sheets>
  <definedNames>
    <definedName name="_xlnm._FilterDatabase" localSheetId="1" hidden="1">'Changes'!$A$1:$I$21</definedName>
    <definedName name="_xlnm._FilterDatabase" localSheetId="2" hidden="1">'New places'!$A$1:$Q$73</definedName>
    <definedName name="_xlnm._FilterDatabase" localSheetId="3" hidden="1">'Skipped'!$A$1:$D$8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b val="1"/>
      <sz val="14"/>
    </font>
    <font>
      <name val="Arial"/>
      <b val="1"/>
      <sz val="10"/>
    </font>
  </fonts>
  <fills count="4">
    <fill>
      <patternFill/>
    </fill>
    <fill>
      <patternFill patternType="gray125"/>
    </fill>
    <fill>
      <patternFill patternType="solid">
        <fgColor rgb="001C2E4A"/>
      </patternFill>
    </fill>
    <fill>
      <patternFill patternType="solid">
        <fgColor rgb="00FFF2CC"/>
      </patternFill>
    </fill>
  </fills>
  <borders count="2">
    <border>
      <left/>
      <right/>
      <top/>
      <bottom/>
      <diagonal/>
    </border>
    <border>
      <bottom style="thin">
        <color rgb="00D0D4DC"/>
      </bottom>
    </border>
  </borders>
  <cellStyleXfs count="1">
    <xf numFmtId="0" fontId="0" fillId="0" borderId="0"/>
  </cellStyleXfs>
  <cellXfs count="10">
    <xf numFmtId="0" fontId="0" fillId="0" borderId="0" pivotButton="0" quotePrefix="0" xfId="0"/>
    <xf numFmtId="0" fontId="3" fillId="0" borderId="0" pivotButton="0" quotePrefix="0" xfId="0"/>
    <xf numFmtId="0" fontId="4" fillId="0" borderId="0" applyAlignment="1" pivotButton="0" quotePrefix="0" xfId="0">
      <alignment vertical="top"/>
    </xf>
    <xf numFmtId="0" fontId="2" fillId="0" borderId="0" applyAlignment="1" pivotButton="0" quotePrefix="0" xfId="0">
      <alignment vertical="top" wrapText="1"/>
    </xf>
    <xf numFmtId="0" fontId="4" fillId="0" borderId="0" pivotButton="0" quotePrefix="0" xfId="0"/>
    <xf numFmtId="0" fontId="2" fillId="0" borderId="0" pivotButton="0" quotePrefix="0" xfId="0"/>
    <xf numFmtId="0" fontId="1" fillId="2" borderId="0" applyAlignment="1" pivotButton="0" quotePrefix="0" xfId="0">
      <alignment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49" fontId="2" fillId="0" borderId="1" applyAlignment="1" pivotButton="0" quotePrefix="0" xfId="0">
      <alignment vertical="top" wrapText="1"/>
    </xf>
  </cellXfs>
  <cellStyles count="1">
    <cellStyle name="Normal" xfId="0" builtinId="0" hidden="0"/>
  </cellStyles>
  <dxfs count="2">
    <dxf>
      <font>
        <name val="Arial"/>
        <b val="1"/>
        <color rgb="00B4441B"/>
        <sz val="10"/>
      </font>
    </dxf>
    <dxf>
      <font>
        <name val="Arial"/>
        <color rgb="001E7B34"/>
        <sz val="1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0" customWidth="1" min="1" max="1"/>
    <col width="14" customWidth="1" min="2" max="2"/>
    <col width="70" customWidth="1" min="3" max="3"/>
  </cols>
  <sheetData>
    <row r="1">
      <c r="A1" s="1" t="inlineStr">
        <is>
          <t>Kansas side: review before it goes live</t>
        </is>
      </c>
    </row>
    <row r="3" ht="80" customHeight="1">
      <c r="A3" s="2" t="inlineStr">
        <is>
          <t>What this is</t>
        </is>
      </c>
      <c r="C3" s="3" t="inlineStr">
        <is>
          <t>New Kansas-side places for CheckpointKC, mostly Johnson County (which isn't covered at all yet) and Kansas City, Kansas, plus corrections to the 21 Kansas listings already live. Nothing here is live until it's approved and applied.</t>
        </is>
      </c>
    </row>
    <row r="4" ht="80" customHeight="1">
      <c r="A4" s="2" t="inlineStr">
        <is>
          <t>Sources</t>
        </is>
      </c>
      <c r="C4" s="3" t="inlineStr">
        <is>
          <t>Johnson County Aging &amp; Human Services' Community Food Pantries page (jocogov.org); United Community Services' Johnson County Emergency Assistance Guide, June 2026 (ucsjoco.org); the Unified Government Public Health Department's Recovery Resource Booklet, 2024 (wycokck.org); United Way 211 listings (search.unitedwaygkc.org) and local news for the Willa Gill Center and Frank Williams center. Read on Oct 12, 2026. The 2024 booklet is the oldest source, so its rows are mostly 'Call first'.</t>
        </is>
      </c>
    </row>
    <row r="5" ht="110" customHeight="1">
      <c r="A5" s="2" t="inlineStr">
        <is>
          <t>How to review</t>
        </is>
      </c>
      <c r="C5" s="3" t="inlineStr">
        <is>
          <t>1. On Changes and New places, pick Approve or Reject in the yellow Decision column (e.g. 'Approve').
2. You can correct the yellow 'New value' cells on Changes, or any cell on New places, before approving.
3. Rows marked 'Call first' disagree between sheets: call the provider, fix the value, then decide.
4. Leave a row blank to decide later. Blank rows are not applied.
5. Send the file back; approved rows are applied with a record of the change in each resource's history.</t>
        </is>
      </c>
    </row>
    <row r="6" ht="80" customHeight="1">
      <c r="A6" s="2" t="inlineStr">
        <is>
          <t>After it's applied</t>
        </is>
      </c>
      <c r="C6" s="3" t="inlineStr">
        <is>
          <t>Addresses without a map pin show in the list but not on the map. Open them in the admin (Resources → No map pin) and use Look up address. New places start as 'Not verified yet', so they show 'Call first' until someone confirms them.</t>
        </is>
      </c>
    </row>
    <row r="8">
      <c r="A8" s="4" t="inlineStr">
        <is>
          <t>Progress</t>
        </is>
      </c>
      <c r="B8" s="4" t="inlineStr">
        <is>
          <t>Count</t>
        </is>
      </c>
    </row>
    <row r="9">
      <c r="A9" s="5" t="inlineStr">
        <is>
          <t>Changes to review</t>
        </is>
      </c>
      <c r="B9" s="5">
        <f>COUNTA(Changes!C2:C500)</f>
        <v/>
      </c>
    </row>
    <row r="10">
      <c r="A10" s="5" t="inlineStr">
        <is>
          <t>Changes approved</t>
        </is>
      </c>
      <c r="B10" s="5">
        <f>COUNTIF(Changes!A2:A500,"Approve")</f>
        <v/>
      </c>
    </row>
    <row r="11">
      <c r="A11" s="5" t="inlineStr">
        <is>
          <t>Changes marked Call first</t>
        </is>
      </c>
      <c r="B11" s="5">
        <f>COUNTIF(Changes!B2:B500,"Call first")</f>
        <v/>
      </c>
    </row>
    <row r="12">
      <c r="A12" s="5" t="inlineStr">
        <is>
          <t>New places to review</t>
        </is>
      </c>
      <c r="B12" s="5">
        <f>COUNTA('New places'!C2:C500)</f>
        <v/>
      </c>
    </row>
    <row r="13">
      <c r="A13" s="5" t="inlineStr">
        <is>
          <t>New places approved</t>
        </is>
      </c>
      <c r="B13" s="5">
        <f>COUNTIF('New places'!A2:A500,"Approve")</f>
        <v/>
      </c>
    </row>
    <row r="14">
      <c r="A14" s="5" t="inlineStr">
        <is>
          <t>Still undecided (both tabs)</t>
        </is>
      </c>
      <c r="B14" s="5">
        <f>COUNTBLANK(Changes!A2:A21)+COUNTBLANK('New places'!A2:A73)</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15" customWidth="1" min="2" max="2"/>
    <col width="6" customWidth="1" min="3" max="3"/>
    <col width="34" customWidth="1" min="4" max="4"/>
    <col width="12" customWidth="1" min="5" max="5"/>
    <col width="40" customWidth="1" min="6" max="6"/>
    <col width="48" customWidth="1" min="7" max="7"/>
    <col width="30" customWidth="1" min="8" max="8"/>
    <col width="48" customWidth="1" min="9" max="9"/>
  </cols>
  <sheetData>
    <row r="1" ht="30" customHeight="1">
      <c r="A1" s="6" t="inlineStr">
        <is>
          <t>Decision</t>
        </is>
      </c>
      <c r="B1" s="6" t="inlineStr">
        <is>
          <t>Recommendation</t>
        </is>
      </c>
      <c r="C1" s="6" t="inlineStr">
        <is>
          <t>ID</t>
        </is>
      </c>
      <c r="D1" s="6" t="inlineStr">
        <is>
          <t>Resource</t>
        </is>
      </c>
      <c r="E1" s="6" t="inlineStr">
        <is>
          <t>Field</t>
        </is>
      </c>
      <c r="F1" s="6" t="inlineStr">
        <is>
          <t>Current value</t>
        </is>
      </c>
      <c r="G1" s="6" t="inlineStr">
        <is>
          <t>New value (edit if needed)</t>
        </is>
      </c>
      <c r="H1" s="6" t="inlineStr">
        <is>
          <t>Source</t>
        </is>
      </c>
      <c r="I1" s="6" t="inlineStr">
        <is>
          <t>Note</t>
        </is>
      </c>
    </row>
    <row r="2">
      <c r="A2" s="7" t="inlineStr"/>
      <c r="B2" s="8" t="inlineStr">
        <is>
          <t>Call first</t>
        </is>
      </c>
      <c r="C2" s="8" t="n">
        <v>109</v>
      </c>
      <c r="D2" s="8" t="inlineStr">
        <is>
          <t>Avenue of Life</t>
        </is>
      </c>
      <c r="E2" s="8" t="inlineStr">
        <is>
          <t>Hours</t>
        </is>
      </c>
      <c r="F2" s="8" t="inlineStr">
        <is>
          <t>Walk-in - call to confirm hours</t>
        </is>
      </c>
      <c r="G2" s="7" t="inlineStr">
        <is>
          <t>Breakfast Sat 9:00am-10:00am; Dinner Wed 5:00pm-6:00pm</t>
        </is>
      </c>
      <c r="H2" s="8" t="inlineStr">
        <is>
          <t>Unified Government Public Health Dept – Recovery Resource Booklet (2024)</t>
        </is>
      </c>
      <c r="I2" s="8" t="inlineStr">
        <is>
          <t>Was 'Walk-in - call to confirm hours'.</t>
        </is>
      </c>
    </row>
    <row r="3">
      <c r="A3" s="7" t="inlineStr"/>
      <c r="B3" s="8" t="inlineStr">
        <is>
          <t>Approve</t>
        </is>
      </c>
      <c r="C3" s="8" t="n">
        <v>112</v>
      </c>
      <c r="D3" s="8" t="inlineStr">
        <is>
          <t>Bridge of Hope Community Church Food Pantry</t>
        </is>
      </c>
      <c r="E3" s="8" t="inlineStr">
        <is>
          <t>Who it's for</t>
        </is>
      </c>
      <c r="F3" s="8" t="inlineStr">
        <is>
          <t>Open to all; appointment required</t>
        </is>
      </c>
      <c r="G3" s="7" t="inlineStr">
        <is>
          <t>Emergency pantry. By appointment; no more than once a month.</t>
        </is>
      </c>
      <c r="H3" s="8" t="inlineStr">
        <is>
          <t>Unified Government Public Health Dept – Recovery Resource Booklet (2024)</t>
        </is>
      </c>
      <c r="I3" s="8" t="inlineStr"/>
    </row>
    <row r="4">
      <c r="A4" s="7" t="inlineStr"/>
      <c r="B4" s="8" t="inlineStr">
        <is>
          <t>Call first</t>
        </is>
      </c>
      <c r="C4" s="8" t="n">
        <v>112</v>
      </c>
      <c r="D4" s="8" t="inlineStr">
        <is>
          <t>Bridge of Hope Community Church Food Pantry</t>
        </is>
      </c>
      <c r="E4" s="8" t="inlineStr">
        <is>
          <t>Hours</t>
        </is>
      </c>
      <c r="F4" s="8" t="inlineStr">
        <is>
          <t>By appointment - call ahead</t>
        </is>
      </c>
      <c r="G4" s="7" t="inlineStr">
        <is>
          <t>Mon-Fri 10:00am-12:00pm (by appointment)</t>
        </is>
      </c>
      <c r="H4" s="8" t="inlineStr">
        <is>
          <t>Unified Government Public Health Dept – Recovery Resource Booklet (2024)</t>
        </is>
      </c>
      <c r="I4" s="8" t="inlineStr">
        <is>
          <t>2024 source.</t>
        </is>
      </c>
    </row>
    <row r="5">
      <c r="A5" s="7" t="inlineStr"/>
      <c r="B5" s="8" t="inlineStr">
        <is>
          <t>Approve</t>
        </is>
      </c>
      <c r="C5" s="8" t="n">
        <v>112</v>
      </c>
      <c r="D5" s="8" t="inlineStr">
        <is>
          <t>Bridge of Hope Community Church Food Pantry</t>
        </is>
      </c>
      <c r="E5" s="8" t="inlineStr">
        <is>
          <t>Phone</t>
        </is>
      </c>
      <c r="F5" s="8" t="inlineStr"/>
      <c r="G5" s="7" t="inlineStr">
        <is>
          <t>(913) 481-6820</t>
        </is>
      </c>
      <c r="H5" s="8" t="inlineStr">
        <is>
          <t>Unified Government Public Health Dept – Recovery Resource Booklet (2024)</t>
        </is>
      </c>
      <c r="I5" s="8" t="inlineStr">
        <is>
          <t>Was blank.</t>
        </is>
      </c>
    </row>
    <row r="6">
      <c r="A6" s="7" t="inlineStr"/>
      <c r="B6" s="8" t="inlineStr">
        <is>
          <t>Call first</t>
        </is>
      </c>
      <c r="C6" s="8" t="n">
        <v>104</v>
      </c>
      <c r="D6" s="8" t="inlineStr">
        <is>
          <t>Catholic Charities of Wyandotte County</t>
        </is>
      </c>
      <c r="E6" s="8" t="inlineStr">
        <is>
          <t>Hours</t>
        </is>
      </c>
      <c r="F6" s="8" t="inlineStr">
        <is>
          <t>Mon, Tue &amp; Fri 9:00am-12:00pm &amp; 1:00pm-3:00pm</t>
        </is>
      </c>
      <c r="G6" s="7" t="inlineStr">
        <is>
          <t>Mon-Fri 8:30am-12:00pm &amp; 1:00pm-4:30pm</t>
        </is>
      </c>
      <c r="H6" s="8" t="inlineStr">
        <is>
          <t>Unified Government Public Health Dept – Recovery Resource Booklet (2024)</t>
        </is>
      </c>
      <c r="I6" s="8" t="inlineStr">
        <is>
          <t>Your data has Mon, Tue &amp; Fri 9-12 and 1-3.</t>
        </is>
      </c>
    </row>
    <row r="7">
      <c r="A7" s="7" t="inlineStr"/>
      <c r="B7" s="8" t="inlineStr">
        <is>
          <t>Call first</t>
        </is>
      </c>
      <c r="C7" s="8" t="n">
        <v>104</v>
      </c>
      <c r="D7" s="8" t="inlineStr">
        <is>
          <t>Catholic Charities of Wyandotte County</t>
        </is>
      </c>
      <c r="E7" s="8" t="inlineStr">
        <is>
          <t>Phone</t>
        </is>
      </c>
      <c r="F7" s="8" t="inlineStr">
        <is>
          <t>(913) 621-3445</t>
        </is>
      </c>
      <c r="G7" s="7" t="inlineStr">
        <is>
          <t>(913) 621-1504</t>
        </is>
      </c>
      <c r="H7" s="8" t="inlineStr">
        <is>
          <t>Unified Government Public Health Dept – Recovery Resource Booklet (2024)</t>
        </is>
      </c>
      <c r="I7" s="8" t="inlineStr">
        <is>
          <t>Catholic Charities' own page also uses 621-1504; United Way 211 has 621-3445 (your current number).</t>
        </is>
      </c>
    </row>
    <row r="8">
      <c r="A8" s="7" t="inlineStr"/>
      <c r="B8" s="8" t="inlineStr">
        <is>
          <t>Approve</t>
        </is>
      </c>
      <c r="C8" s="8" t="n">
        <v>105</v>
      </c>
      <c r="D8" s="8" t="inlineStr">
        <is>
          <t>Cross-Lines Community Outreach</t>
        </is>
      </c>
      <c r="E8" s="8" t="inlineStr">
        <is>
          <t>Who it's for</t>
        </is>
      </c>
      <c r="F8" s="8" t="inlineStr">
        <is>
          <t>Wyandotte County residents</t>
        </is>
      </c>
      <c r="G8" s="7" t="inlineStr">
        <is>
          <t>Wyandotte County residents. Bring photo ID for everyone in the household, proof of address (current mail or lease) and proof of household income.</t>
        </is>
      </c>
      <c r="H8" s="8" t="inlineStr">
        <is>
          <t>Unified Government Public Health Dept – Recovery Resource Booklet (2024)</t>
        </is>
      </c>
      <c r="I8" s="8" t="inlineStr"/>
    </row>
    <row r="9">
      <c r="A9" s="7" t="inlineStr"/>
      <c r="B9" s="8" t="inlineStr">
        <is>
          <t>Call first</t>
        </is>
      </c>
      <c r="C9" s="8" t="n">
        <v>105</v>
      </c>
      <c r="D9" s="8" t="inlineStr">
        <is>
          <t>Cross-Lines Community Outreach</t>
        </is>
      </c>
      <c r="E9" s="8" t="inlineStr">
        <is>
          <t>Hours</t>
        </is>
      </c>
      <c r="F9" s="8" t="inlineStr">
        <is>
          <t>Mon-Fri 9:00am-12:00pm &amp; 1:00pm-3:00pm</t>
        </is>
      </c>
      <c r="G9" s="7" t="inlineStr">
        <is>
          <t>Mon 9:00am-12:00pm &amp; 1:00pm-3:00pm (seniors 65+ only); Tue-Thu 9:00am-12:00pm &amp; 1:00pm-3:00pm; Fri 9:00am-12:00pm</t>
        </is>
      </c>
      <c r="H9" s="8" t="inlineStr">
        <is>
          <t>Unified Government Public Health Dept – Recovery Resource Booklet (2024)</t>
        </is>
      </c>
      <c r="I9" s="8" t="inlineStr">
        <is>
          <t>Booklet calls this the Cross-Lines Community Market. Monday is seniors-only.</t>
        </is>
      </c>
    </row>
    <row r="10">
      <c r="A10" s="7" t="inlineStr"/>
      <c r="B10" s="8" t="inlineStr">
        <is>
          <t>Call first</t>
        </is>
      </c>
      <c r="C10" s="8" t="n">
        <v>108</v>
      </c>
      <c r="D10" s="8" t="inlineStr">
        <is>
          <t>Giving Hope Food Pantry</t>
        </is>
      </c>
      <c r="E10" s="8" t="inlineStr">
        <is>
          <t>Hours</t>
        </is>
      </c>
      <c r="F10" s="8" t="inlineStr">
        <is>
          <t>Call or check website</t>
        </is>
      </c>
      <c r="G10" s="7" t="inlineStr">
        <is>
          <t>1st &amp; 3rd Tue 6:00pm-7:30pm; Sat 9:00am-11:00am (use the pink door)</t>
        </is>
      </c>
      <c r="H10" s="8" t="inlineStr">
        <is>
          <t>Unified Government Public Health Dept – Recovery Resource Booklet (2024)</t>
        </is>
      </c>
      <c r="I10" s="8" t="inlineStr">
        <is>
          <t>Was 'Call or check website'. 2024 source.</t>
        </is>
      </c>
    </row>
    <row r="11">
      <c r="A11" s="7" t="inlineStr"/>
      <c r="B11" s="8" t="inlineStr">
        <is>
          <t>Approve</t>
        </is>
      </c>
      <c r="C11" s="8" t="n">
        <v>108</v>
      </c>
      <c r="D11" s="8" t="inlineStr">
        <is>
          <t>Giving Hope Food Pantry</t>
        </is>
      </c>
      <c r="E11" s="8" t="inlineStr">
        <is>
          <t>Phone</t>
        </is>
      </c>
      <c r="F11" s="8" t="inlineStr"/>
      <c r="G11" s="7" t="inlineStr">
        <is>
          <t>(913) 915-6183</t>
        </is>
      </c>
      <c r="H11" s="8" t="inlineStr">
        <is>
          <t>Unified Government Public Health Dept – Recovery Resource Booklet (2024)</t>
        </is>
      </c>
      <c r="I11" s="8" t="inlineStr">
        <is>
          <t>Was blank.</t>
        </is>
      </c>
    </row>
    <row r="12">
      <c r="A12" s="7" t="inlineStr"/>
      <c r="B12" s="8" t="inlineStr">
        <is>
          <t>Approve</t>
        </is>
      </c>
      <c r="C12" s="8" t="n">
        <v>42</v>
      </c>
      <c r="D12" s="8" t="inlineStr">
        <is>
          <t>JayDoc Free Clinic</t>
        </is>
      </c>
      <c r="E12" s="8" t="inlineStr">
        <is>
          <t>Hours</t>
        </is>
      </c>
      <c r="F12" s="8" t="inlineStr">
        <is>
          <t>Call or check website for clinic nights</t>
        </is>
      </c>
      <c r="G12" s="7" t="inlineStr">
        <is>
          <t>Mon &amp; Wed evenings; doors open 4:45pm, arrive by 5:00pm</t>
        </is>
      </c>
      <c r="H12" s="8" t="inlineStr">
        <is>
          <t>United Way 211 listing</t>
        </is>
      </c>
      <c r="I12" s="8" t="inlineStr">
        <is>
          <t>Inside Vibrant Health's 340 Southwest Blvd clinic. The booklet and 211 agree on Monday and Wednesday.</t>
        </is>
      </c>
    </row>
    <row r="13">
      <c r="A13" s="7" t="inlineStr"/>
      <c r="B13" s="8" t="inlineStr">
        <is>
          <t>Call first</t>
        </is>
      </c>
      <c r="C13" s="8" t="n">
        <v>111</v>
      </c>
      <c r="D13" s="8" t="inlineStr">
        <is>
          <t>Kansas City Dream Center</t>
        </is>
      </c>
      <c r="E13" s="8" t="inlineStr">
        <is>
          <t>Address</t>
        </is>
      </c>
      <c r="F13" s="8" t="inlineStr">
        <is>
          <t>1500 Central Avenue</t>
        </is>
      </c>
      <c r="G13" s="7" t="inlineStr">
        <is>
          <t>425 State Avenue (parking lot)</t>
        </is>
      </c>
      <c r="H13" s="8" t="inlineStr">
        <is>
          <t>Unified Government Public Health Dept – Recovery Resource Booklet (2024)</t>
        </is>
      </c>
      <c r="I13" s="8" t="inlineStr">
        <is>
          <t>Mobile distribution site; your data has 1500 Central Avenue by appointment. Move the map pin if approved.</t>
        </is>
      </c>
    </row>
    <row r="14">
      <c r="A14" s="7" t="inlineStr"/>
      <c r="B14" s="8" t="inlineStr">
        <is>
          <t>Call first</t>
        </is>
      </c>
      <c r="C14" s="8" t="n">
        <v>111</v>
      </c>
      <c r="D14" s="8" t="inlineStr">
        <is>
          <t>Kansas City Dream Center</t>
        </is>
      </c>
      <c r="E14" s="8" t="inlineStr">
        <is>
          <t>Hours</t>
        </is>
      </c>
      <c r="F14" s="8" t="inlineStr">
        <is>
          <t>By appointment - call ahead</t>
        </is>
      </c>
      <c r="G14" s="7" t="inlineStr">
        <is>
          <t>Mobile food distribution 1st Sat 9:30am-1:30pm (first come, first served)</t>
        </is>
      </c>
      <c r="H14" s="8" t="inlineStr">
        <is>
          <t>Unified Government Public Health Dept – Recovery Resource Booklet (2024)</t>
        </is>
      </c>
      <c r="I14" s="8" t="inlineStr"/>
    </row>
    <row r="15">
      <c r="A15" s="7" t="inlineStr"/>
      <c r="B15" s="8" t="inlineStr">
        <is>
          <t>Call first</t>
        </is>
      </c>
      <c r="C15" s="8" t="n">
        <v>111</v>
      </c>
      <c r="D15" s="8" t="inlineStr">
        <is>
          <t>Kansas City Dream Center</t>
        </is>
      </c>
      <c r="E15" s="8" t="inlineStr">
        <is>
          <t>ZIP</t>
        </is>
      </c>
      <c r="F15" s="8" t="inlineStr">
        <is>
          <t>66102</t>
        </is>
      </c>
      <c r="G15" s="7" t="inlineStr">
        <is>
          <t>66101</t>
        </is>
      </c>
      <c r="H15" s="8" t="inlineStr">
        <is>
          <t>Unified Government Public Health Dept – Recovery Resource Booklet (2024)</t>
        </is>
      </c>
      <c r="I15" s="8" t="inlineStr"/>
    </row>
    <row r="16">
      <c r="A16" s="7" t="inlineStr"/>
      <c r="B16" s="8" t="inlineStr">
        <is>
          <t>Call first</t>
        </is>
      </c>
      <c r="C16" s="8" t="n">
        <v>114</v>
      </c>
      <c r="D16" s="8" t="inlineStr">
        <is>
          <t>MCRC Food Pantry</t>
        </is>
      </c>
      <c r="E16" s="8" t="inlineStr">
        <is>
          <t>Hours</t>
        </is>
      </c>
      <c r="F16" s="8" t="inlineStr">
        <is>
          <t>Call to confirm hours</t>
        </is>
      </c>
      <c r="G16" s="7" t="inlineStr">
        <is>
          <t>Thu 10:15am-2:00pm (by appointment; call to book)</t>
        </is>
      </c>
      <c r="H16" s="8" t="inlineStr">
        <is>
          <t>Unified Government Public Health Dept – Recovery Resource Booklet (2024)</t>
        </is>
      </c>
      <c r="I16" s="8" t="inlineStr"/>
    </row>
    <row r="17">
      <c r="A17" s="7" t="inlineStr"/>
      <c r="B17" s="8" t="inlineStr">
        <is>
          <t>Approve</t>
        </is>
      </c>
      <c r="C17" s="8" t="n">
        <v>114</v>
      </c>
      <c r="D17" s="8" t="inlineStr">
        <is>
          <t>MCRC Food Pantry</t>
        </is>
      </c>
      <c r="E17" s="8" t="inlineStr">
        <is>
          <t>Name</t>
        </is>
      </c>
      <c r="F17" s="8" t="inlineStr">
        <is>
          <t>MCRC Food Pantry</t>
        </is>
      </c>
      <c r="G17" s="7" t="inlineStr">
        <is>
          <t>Mt. Carmel Redevelopment Corp. Food Pantry</t>
        </is>
      </c>
      <c r="H17" s="8" t="inlineStr">
        <is>
          <t>Unified Government Public Health Dept – Recovery Resource Booklet (2024)</t>
        </is>
      </c>
      <c r="I17" s="8" t="inlineStr">
        <is>
          <t>Spells out MCRC.</t>
        </is>
      </c>
    </row>
    <row r="18">
      <c r="A18" s="7" t="inlineStr"/>
      <c r="B18" s="8" t="inlineStr">
        <is>
          <t>Approve</t>
        </is>
      </c>
      <c r="C18" s="8" t="n">
        <v>114</v>
      </c>
      <c r="D18" s="8" t="inlineStr">
        <is>
          <t>MCRC Food Pantry</t>
        </is>
      </c>
      <c r="E18" s="8" t="inlineStr">
        <is>
          <t>Phone</t>
        </is>
      </c>
      <c r="F18" s="8" t="inlineStr"/>
      <c r="G18" s="7" t="inlineStr">
        <is>
          <t>(913) 621-4111</t>
        </is>
      </c>
      <c r="H18" s="8" t="inlineStr">
        <is>
          <t>Unified Government Public Health Dept – Recovery Resource Booklet (2024)</t>
        </is>
      </c>
      <c r="I18" s="8" t="inlineStr">
        <is>
          <t>Was blank. Appointments required.</t>
        </is>
      </c>
    </row>
    <row r="19">
      <c r="A19" s="7" t="inlineStr"/>
      <c r="B19" s="8" t="inlineStr">
        <is>
          <t>Call first</t>
        </is>
      </c>
      <c r="C19" s="8" t="n">
        <v>107</v>
      </c>
      <c r="D19" s="8" t="inlineStr">
        <is>
          <t>Metropolitan Lutheran Ministry - Wyandotte Pantry</t>
        </is>
      </c>
      <c r="E19" s="8" t="inlineStr">
        <is>
          <t>Phone</t>
        </is>
      </c>
      <c r="F19" s="8" t="inlineStr">
        <is>
          <t>(913) 342-7566</t>
        </is>
      </c>
      <c r="G19" s="7" t="inlineStr">
        <is>
          <t>(913) 342-8333</t>
        </is>
      </c>
      <c r="H19" s="8" t="inlineStr">
        <is>
          <t>Unified Government Public Health Dept – Recovery Resource Booklet (2024)</t>
        </is>
      </c>
      <c r="I19" s="8" t="inlineStr">
        <is>
          <t>Your data has (913) 342-7566.</t>
        </is>
      </c>
    </row>
    <row r="20">
      <c r="A20" s="7" t="inlineStr"/>
      <c r="B20" s="8" t="inlineStr">
        <is>
          <t>Call first</t>
        </is>
      </c>
      <c r="C20" s="8" t="n">
        <v>110</v>
      </c>
      <c r="D20" s="8" t="inlineStr">
        <is>
          <t>St. Mary's Food Kitchen</t>
        </is>
      </c>
      <c r="E20" s="8" t="inlineStr">
        <is>
          <t>Hours</t>
        </is>
      </c>
      <c r="F20" s="8" t="inlineStr">
        <is>
          <t>Call to confirm serving times</t>
        </is>
      </c>
      <c r="G20" s="7" t="inlineStr">
        <is>
          <t>Lunch daily 11:00am-1:00pm</t>
        </is>
      </c>
      <c r="H20" s="8" t="inlineStr">
        <is>
          <t>Unified Government Public Health Dept – Recovery Resource Booklet (2024)</t>
        </is>
      </c>
      <c r="I20" s="8" t="inlineStr">
        <is>
          <t>645 Nebraska Ave is the Willa Gill Center, where lunch is served daily. 211 lists 9am-1pm. Consider merging this row into the new Willa Gill Center listing.</t>
        </is>
      </c>
    </row>
    <row r="21">
      <c r="A21" s="7" t="inlineStr"/>
      <c r="B21" s="8" t="inlineStr">
        <is>
          <t>Call first</t>
        </is>
      </c>
      <c r="C21" s="8" t="n">
        <v>40</v>
      </c>
      <c r="D21" s="8" t="inlineStr">
        <is>
          <t>Swope Health Wyandotte</t>
        </is>
      </c>
      <c r="E21" s="8" t="inlineStr">
        <is>
          <t>Phone</t>
        </is>
      </c>
      <c r="F21" s="8" t="inlineStr">
        <is>
          <t>(816) 923-5800</t>
        </is>
      </c>
      <c r="G21" s="7" t="inlineStr">
        <is>
          <t>(913) 321-2200</t>
        </is>
      </c>
      <c r="H21" s="8" t="inlineStr">
        <is>
          <t>Unified Government Public Health Dept – Recovery Resource Booklet (2024)</t>
        </is>
      </c>
      <c r="I21" s="8" t="inlineStr">
        <is>
          <t>Local KCK number for the 4835 State Ave clinic; your data has Swope's Missouri main line.</t>
        </is>
      </c>
    </row>
  </sheetData>
  <autoFilter ref="A1:I21"/>
  <conditionalFormatting sqref="B2:B21">
    <cfRule type="expression" priority="1" dxfId="0">
      <formula>B2="Call first"</formula>
    </cfRule>
    <cfRule type="expression" priority="2" dxfId="1">
      <formula>B2="Approve"</formula>
    </cfRule>
  </conditionalFormatting>
  <dataValidations count="1">
    <dataValidation sqref="A2:A21" showDropDown="0" showInputMessage="0" showErrorMessage="0" allowBlank="1" errorTitle="Decision" error="Pick Approve or Reject." type="list">
      <formula1>"Approve,Reject"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7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15" customWidth="1" min="2" max="2"/>
    <col width="34" customWidth="1" min="3" max="3"/>
    <col width="26" customWidth="1" min="4" max="4"/>
    <col width="11" customWidth="1" min="5" max="5"/>
    <col width="28" customWidth="1" min="6" max="6"/>
    <col width="14" customWidth="1" min="7" max="7"/>
    <col width="7" customWidth="1" min="8" max="8"/>
    <col width="8" customWidth="1" min="9" max="9"/>
    <col width="18" customWidth="1" min="10" max="10"/>
    <col width="38" customWidth="1" min="11" max="11"/>
    <col width="30" customWidth="1" min="12" max="12"/>
    <col width="30" customWidth="1" min="13" max="13"/>
    <col width="44" customWidth="1" min="14" max="14"/>
    <col width="26" customWidth="1" min="15" max="15"/>
    <col width="30" customWidth="1" min="16" max="16"/>
    <col width="40" customWidth="1" min="17" max="17"/>
  </cols>
  <sheetData>
    <row r="1" ht="30" customHeight="1">
      <c r="A1" s="6" t="inlineStr">
        <is>
          <t>Decision</t>
        </is>
      </c>
      <c r="B1" s="6" t="inlineStr">
        <is>
          <t>Recommendation</t>
        </is>
      </c>
      <c r="C1" s="6" t="inlineStr">
        <is>
          <t>Name</t>
        </is>
      </c>
      <c r="D1" s="6" t="inlineStr">
        <is>
          <t>Organization</t>
        </is>
      </c>
      <c r="E1" s="6" t="inlineStr">
        <is>
          <t>Category</t>
        </is>
      </c>
      <c r="F1" s="6" t="inlineStr">
        <is>
          <t>Street address</t>
        </is>
      </c>
      <c r="G1" s="6" t="inlineStr">
        <is>
          <t>City</t>
        </is>
      </c>
      <c r="H1" s="6" t="inlineStr">
        <is>
          <t>State</t>
        </is>
      </c>
      <c r="I1" s="6" t="inlineStr">
        <is>
          <t>ZIP</t>
        </is>
      </c>
      <c r="J1" s="6" t="inlineStr">
        <is>
          <t>Phone</t>
        </is>
      </c>
      <c r="K1" s="6" t="inlineStr">
        <is>
          <t>Hours</t>
        </is>
      </c>
      <c r="L1" s="6" t="inlineStr">
        <is>
          <t>Services (; between)</t>
        </is>
      </c>
      <c r="M1" s="6" t="inlineStr">
        <is>
          <t>Who it's for</t>
        </is>
      </c>
      <c r="N1" s="6" t="inlineStr">
        <is>
          <t>Description</t>
        </is>
      </c>
      <c r="O1" s="6" t="inlineStr">
        <is>
          <t>Website</t>
        </is>
      </c>
      <c r="P1" s="6" t="inlineStr">
        <is>
          <t>Source</t>
        </is>
      </c>
      <c r="Q1" s="6" t="inlineStr">
        <is>
          <t>Note</t>
        </is>
      </c>
    </row>
    <row r="2">
      <c r="A2" s="7" t="inlineStr"/>
      <c r="B2" s="8" t="inlineStr">
        <is>
          <t>Approve</t>
        </is>
      </c>
      <c r="C2" s="8" t="inlineStr">
        <is>
          <t>Johnson County Street Outreach</t>
        </is>
      </c>
      <c r="D2" s="8" t="inlineStr">
        <is>
          <t>Johnson County Mental Health Center</t>
        </is>
      </c>
      <c r="E2" s="8" t="inlineStr">
        <is>
          <t>crisis</t>
        </is>
      </c>
      <c r="F2" s="8" t="inlineStr">
        <is>
          <t>Phone only</t>
        </is>
      </c>
      <c r="G2" s="8" t="inlineStr"/>
      <c r="H2" s="8" t="inlineStr"/>
      <c r="I2" s="9" t="inlineStr"/>
      <c r="J2" s="8" t="inlineStr">
        <is>
          <t>(913) 826-4079</t>
        </is>
      </c>
      <c r="K2" s="8" t="inlineStr">
        <is>
          <t>Call for hours</t>
        </is>
      </c>
      <c r="L2" s="8" t="inlineStr"/>
      <c r="M2" s="8" t="inlineStr">
        <is>
          <t>Adults staying outdoors or in cars. Teens &amp; young adults: (913) 295-7067.</t>
        </is>
      </c>
      <c r="N2" s="8" t="inlineStr">
        <is>
          <t>Basic help for people sleeping outside or in cars in Johnson County.</t>
        </is>
      </c>
      <c r="O2" s="8" t="inlineStr"/>
      <c r="P2" s="8" t="inlineStr">
        <is>
          <t>UCS Johnson County Emergency Assistance Guide (June 2026)</t>
        </is>
      </c>
      <c r="Q2" s="8" t="inlineStr"/>
    </row>
    <row r="3">
      <c r="A3" s="7" t="inlineStr"/>
      <c r="B3" s="8" t="inlineStr">
        <is>
          <t>Approve</t>
        </is>
      </c>
      <c r="C3" s="8" t="inlineStr">
        <is>
          <t>Antioch Church - The Storehouse Food Pantry</t>
        </is>
      </c>
      <c r="D3" s="8" t="inlineStr">
        <is>
          <t>Antioch Church</t>
        </is>
      </c>
      <c r="E3" s="8" t="inlineStr">
        <is>
          <t>food</t>
        </is>
      </c>
      <c r="F3" s="8" t="inlineStr">
        <is>
          <t>5201 Antioch Road</t>
        </is>
      </c>
      <c r="G3" s="8" t="inlineStr">
        <is>
          <t>Overland Park</t>
        </is>
      </c>
      <c r="H3" s="8" t="inlineStr">
        <is>
          <t>KS</t>
        </is>
      </c>
      <c r="I3" s="9" t="inlineStr">
        <is>
          <t>66202</t>
        </is>
      </c>
      <c r="J3" s="8" t="inlineStr">
        <is>
          <t>(913) 432-4300</t>
        </is>
      </c>
      <c r="K3" s="8" t="inlineStr">
        <is>
          <t>Tue 1:00pm-4:00pm</t>
        </is>
      </c>
      <c r="L3" s="8" t="inlineStr">
        <is>
          <t>Food Pantry</t>
        </is>
      </c>
      <c r="M3" s="8" t="inlineStr">
        <is>
          <t>Photo ID and proof of residency</t>
        </is>
      </c>
      <c r="N3" s="8" t="inlineStr"/>
      <c r="O3" s="8" t="inlineStr"/>
      <c r="P3" s="8" t="inlineStr">
        <is>
          <t>Johnson County Aging &amp; Human Services – Community Food Pantries (jocogov.org)</t>
        </is>
      </c>
      <c r="Q3" s="8" t="inlineStr">
        <is>
          <t>UCS guide places it in Shawnee; the county page says Overland Park.</t>
        </is>
      </c>
    </row>
    <row r="4">
      <c r="A4" s="7" t="inlineStr"/>
      <c r="B4" s="8" t="inlineStr">
        <is>
          <t>Call first</t>
        </is>
      </c>
      <c r="C4" s="8" t="inlineStr">
        <is>
          <t>Bethel Neighborhood Center</t>
        </is>
      </c>
      <c r="D4" s="8" t="inlineStr">
        <is>
          <t>Bethel Neighborhood Center</t>
        </is>
      </c>
      <c r="E4" s="8" t="inlineStr">
        <is>
          <t>food</t>
        </is>
      </c>
      <c r="F4" s="8" t="inlineStr">
        <is>
          <t>14 S 7th Street Trafficway</t>
        </is>
      </c>
      <c r="G4" s="8" t="inlineStr">
        <is>
          <t>Kansas City</t>
        </is>
      </c>
      <c r="H4" s="8" t="inlineStr">
        <is>
          <t>KS</t>
        </is>
      </c>
      <c r="I4" s="9" t="inlineStr">
        <is>
          <t>66101</t>
        </is>
      </c>
      <c r="J4" s="8" t="inlineStr">
        <is>
          <t>(913) 371-5206</t>
        </is>
      </c>
      <c r="K4" s="8" t="inlineStr">
        <is>
          <t>Mon-Fri 9:00am-3:00pm</t>
        </is>
      </c>
      <c r="L4" s="8" t="inlineStr">
        <is>
          <t>Food Pantry</t>
        </is>
      </c>
      <c r="M4" s="8" t="inlineStr">
        <is>
          <t>Wyandotte County residents</t>
        </is>
      </c>
      <c r="N4" s="8" t="inlineStr"/>
      <c r="O4" s="8" t="inlineStr"/>
      <c r="P4" s="8" t="inlineStr">
        <is>
          <t>Unified Government Public Health Dept – Recovery Resource Booklet (2024)</t>
        </is>
      </c>
      <c r="Q4" s="8" t="inlineStr"/>
    </row>
    <row r="5">
      <c r="A5" s="7" t="inlineStr"/>
      <c r="B5" s="8" t="inlineStr">
        <is>
          <t>Approve</t>
        </is>
      </c>
      <c r="C5" s="8" t="inlineStr">
        <is>
          <t>Blue Valley Food Pantry</t>
        </is>
      </c>
      <c r="D5" s="8" t="inlineStr">
        <is>
          <t>Blue Valley Food Pantry</t>
        </is>
      </c>
      <c r="E5" s="8" t="inlineStr">
        <is>
          <t>food</t>
        </is>
      </c>
      <c r="F5" s="8" t="inlineStr">
        <is>
          <t>7700 W 143rd Street</t>
        </is>
      </c>
      <c r="G5" s="8" t="inlineStr">
        <is>
          <t>Overland Park</t>
        </is>
      </c>
      <c r="H5" s="8" t="inlineStr">
        <is>
          <t>KS</t>
        </is>
      </c>
      <c r="I5" s="9" t="inlineStr">
        <is>
          <t>66223</t>
        </is>
      </c>
      <c r="J5" s="8" t="inlineStr">
        <is>
          <t>(913) 624-2939</t>
        </is>
      </c>
      <c r="K5" s="8" t="inlineStr">
        <is>
          <t>Tue, Thu &amp; Fri 9:00am-11:00am &amp; 1:20pm-2:20pm (by appointment)</t>
        </is>
      </c>
      <c r="L5" s="8" t="inlineStr">
        <is>
          <t>Food Pantry</t>
        </is>
      </c>
      <c r="M5" s="8" t="inlineStr"/>
      <c r="N5" s="8" t="inlineStr">
        <is>
          <t>Door 6, near the conference center entrance. Closed during school breaks and weather closures.</t>
        </is>
      </c>
      <c r="O5" s="8" t="inlineStr"/>
      <c r="P5" s="8" t="inlineStr">
        <is>
          <t>Johnson County Aging &amp; Human Services – Community Food Pantries (jocogov.org)</t>
        </is>
      </c>
      <c r="Q5" s="8" t="inlineStr">
        <is>
          <t>Run with the Blue Valley school district.</t>
        </is>
      </c>
    </row>
    <row r="6">
      <c r="A6" s="7" t="inlineStr"/>
      <c r="B6" s="8" t="inlineStr">
        <is>
          <t>Approve</t>
        </is>
      </c>
      <c r="C6" s="8" t="inlineStr">
        <is>
          <t>Catholic Charities - Olathe</t>
        </is>
      </c>
      <c r="D6" s="8" t="inlineStr">
        <is>
          <t>Catholic Charities of Northeast Kansas</t>
        </is>
      </c>
      <c r="E6" s="8" t="inlineStr">
        <is>
          <t>food</t>
        </is>
      </c>
      <c r="F6" s="8" t="inlineStr">
        <is>
          <t>333 E Poplar Street, Suite A</t>
        </is>
      </c>
      <c r="G6" s="8" t="inlineStr">
        <is>
          <t>Olathe</t>
        </is>
      </c>
      <c r="H6" s="8" t="inlineStr">
        <is>
          <t>KS</t>
        </is>
      </c>
      <c r="I6" s="9" t="inlineStr">
        <is>
          <t>66061</t>
        </is>
      </c>
      <c r="J6" s="8" t="inlineStr">
        <is>
          <t>(913) 782-4077</t>
        </is>
      </c>
      <c r="K6" s="8" t="inlineStr">
        <is>
          <t>Mon-Thu 9:00am-4:00pm</t>
        </is>
      </c>
      <c r="L6" s="8" t="inlineStr">
        <is>
          <t>Food Pantry;Emergency Assistance</t>
        </is>
      </c>
      <c r="M6" s="8" t="inlineStr">
        <is>
          <t>Photo ID and proof of address; complete intake forms</t>
        </is>
      </c>
      <c r="N6" s="8" t="inlineStr"/>
      <c r="O6" s="8" t="inlineStr"/>
      <c r="P6" s="8" t="inlineStr">
        <is>
          <t>Johnson County Aging &amp; Human Services – Community Food Pantries (jocogov.org)</t>
        </is>
      </c>
      <c r="Q6" s="8" t="inlineStr"/>
    </row>
    <row r="7">
      <c r="A7" s="7" t="inlineStr"/>
      <c r="B7" s="8" t="inlineStr">
        <is>
          <t>Approve</t>
        </is>
      </c>
      <c r="C7" s="8" t="inlineStr">
        <is>
          <t>Catholic Charities - Overland Park</t>
        </is>
      </c>
      <c r="D7" s="8" t="inlineStr">
        <is>
          <t>Catholic Charities of Northeast Kansas</t>
        </is>
      </c>
      <c r="E7" s="8" t="inlineStr">
        <is>
          <t>food</t>
        </is>
      </c>
      <c r="F7" s="8" t="inlineStr">
        <is>
          <t>9806 W 87th Street</t>
        </is>
      </c>
      <c r="G7" s="8" t="inlineStr">
        <is>
          <t>Overland Park</t>
        </is>
      </c>
      <c r="H7" s="8" t="inlineStr">
        <is>
          <t>KS</t>
        </is>
      </c>
      <c r="I7" s="9" t="inlineStr">
        <is>
          <t>66212</t>
        </is>
      </c>
      <c r="J7" s="8" t="inlineStr">
        <is>
          <t>(913) 384-6608</t>
        </is>
      </c>
      <c r="K7" s="8" t="inlineStr">
        <is>
          <t>Mon-Thu 9:00am-4:00pm (one visit per month)</t>
        </is>
      </c>
      <c r="L7" s="8" t="inlineStr">
        <is>
          <t>Food Pantry;Emergency Assistance</t>
        </is>
      </c>
      <c r="M7" s="8" t="inlineStr">
        <is>
          <t>Photo ID</t>
        </is>
      </c>
      <c r="N7" s="8" t="inlineStr"/>
      <c r="O7" s="8" t="inlineStr"/>
      <c r="P7" s="8" t="inlineStr">
        <is>
          <t>Johnson County Aging &amp; Human Services – Community Food Pantries (jocogov.org)</t>
        </is>
      </c>
      <c r="Q7" s="8" t="inlineStr"/>
    </row>
    <row r="8">
      <c r="A8" s="7" t="inlineStr"/>
      <c r="B8" s="8" t="inlineStr">
        <is>
          <t>Approve</t>
        </is>
      </c>
      <c r="C8" s="8" t="inlineStr">
        <is>
          <t>Center of Grace</t>
        </is>
      </c>
      <c r="D8" s="8" t="inlineStr">
        <is>
          <t>Center of Grace</t>
        </is>
      </c>
      <c r="E8" s="8" t="inlineStr">
        <is>
          <t>food</t>
        </is>
      </c>
      <c r="F8" s="8" t="inlineStr">
        <is>
          <t>520 S Harrison Street</t>
        </is>
      </c>
      <c r="G8" s="8" t="inlineStr">
        <is>
          <t>Olathe</t>
        </is>
      </c>
      <c r="H8" s="8" t="inlineStr">
        <is>
          <t>KS</t>
        </is>
      </c>
      <c r="I8" s="9" t="inlineStr">
        <is>
          <t>66061</t>
        </is>
      </c>
      <c r="J8" s="8" t="inlineStr">
        <is>
          <t>(913) 764-1353</t>
        </is>
      </c>
      <c r="K8" s="8" t="inlineStr">
        <is>
          <t>Meal Wed 5:30pm-6:30pm; To-go hot meal Thu from 5:00pm (first come, first served)</t>
        </is>
      </c>
      <c r="L8" s="8" t="inlineStr">
        <is>
          <t>Hot Meals;Food Pantry</t>
        </is>
      </c>
      <c r="M8" s="8" t="inlineStr"/>
      <c r="N8" s="8" t="inlineStr">
        <is>
          <t>Wednesday food pantry is by appointment for families with Olathe School District students on free or reduced lunch.</t>
        </is>
      </c>
      <c r="O8" s="8" t="inlineStr"/>
      <c r="P8" s="8" t="inlineStr">
        <is>
          <t>UCS Johnson County Emergency Assistance Guide (June 2026)</t>
        </is>
      </c>
      <c r="Q8" s="8" t="inlineStr">
        <is>
          <t>County page says the Thursday to-go meal starts at 5pm; the UCS guide says 5-6pm.</t>
        </is>
      </c>
    </row>
    <row r="9">
      <c r="A9" s="7" t="inlineStr"/>
      <c r="B9" s="8" t="inlineStr">
        <is>
          <t>Approve</t>
        </is>
      </c>
      <c r="C9" s="8" t="inlineStr">
        <is>
          <t>Central Church of the Nazarene Food Pantry</t>
        </is>
      </c>
      <c r="D9" s="8" t="inlineStr">
        <is>
          <t>Central Church of the Nazarene</t>
        </is>
      </c>
      <c r="E9" s="8" t="inlineStr">
        <is>
          <t>food</t>
        </is>
      </c>
      <c r="F9" s="8" t="inlineStr">
        <is>
          <t>12600 W 87th Street</t>
        </is>
      </c>
      <c r="G9" s="8" t="inlineStr">
        <is>
          <t>Lenexa</t>
        </is>
      </c>
      <c r="H9" s="8" t="inlineStr">
        <is>
          <t>KS</t>
        </is>
      </c>
      <c r="I9" s="9" t="inlineStr">
        <is>
          <t>66215</t>
        </is>
      </c>
      <c r="J9" s="8" t="inlineStr">
        <is>
          <t>(913) 541-2600</t>
        </is>
      </c>
      <c r="K9" s="8" t="inlineStr">
        <is>
          <t>Wed 9:00am-12:00pm &amp; 6:00pm-7:30pm; Thu 10:00am-1:00pm</t>
        </is>
      </c>
      <c r="L9" s="8" t="inlineStr">
        <is>
          <t>Food Pantry</t>
        </is>
      </c>
      <c r="M9" s="8" t="inlineStr">
        <is>
          <t>Johnson County photo ID required; one visit per calendar month</t>
        </is>
      </c>
      <c r="N9" s="8" t="inlineStr"/>
      <c r="O9" s="8" t="inlineStr"/>
      <c r="P9" s="8" t="inlineStr">
        <is>
          <t>Johnson County Aging &amp; Human Services – Community Food Pantries (jocogov.org)</t>
        </is>
      </c>
      <c r="Q9" s="8" t="inlineStr"/>
    </row>
    <row r="10">
      <c r="A10" s="7" t="inlineStr"/>
      <c r="B10" s="8" t="inlineStr">
        <is>
          <t>Approve</t>
        </is>
      </c>
      <c r="C10" s="8" t="inlineStr">
        <is>
          <t>Church of the Resurrection Food Pantry</t>
        </is>
      </c>
      <c r="D10" s="8" t="inlineStr">
        <is>
          <t>Church of the Resurrection</t>
        </is>
      </c>
      <c r="E10" s="8" t="inlineStr">
        <is>
          <t>food</t>
        </is>
      </c>
      <c r="F10" s="8" t="inlineStr">
        <is>
          <t>8412 W 95th Street</t>
        </is>
      </c>
      <c r="G10" s="8" t="inlineStr">
        <is>
          <t>Overland Park</t>
        </is>
      </c>
      <c r="H10" s="8" t="inlineStr">
        <is>
          <t>KS</t>
        </is>
      </c>
      <c r="I10" s="9" t="inlineStr">
        <is>
          <t>66212</t>
        </is>
      </c>
      <c r="J10" s="8" t="inlineStr"/>
      <c r="K10" s="8" t="inlineStr">
        <is>
          <t>Wed 9:00am-12:00pm &amp; 3:00pm-7:00pm</t>
        </is>
      </c>
      <c r="L10" s="8" t="inlineStr">
        <is>
          <t>Food Pantry</t>
        </is>
      </c>
      <c r="M10" s="8" t="inlineStr">
        <is>
          <t>All are welcome</t>
        </is>
      </c>
      <c r="N10" s="8" t="inlineStr"/>
      <c r="O10" s="8" t="inlineStr"/>
      <c r="P10" s="8" t="inlineStr">
        <is>
          <t>Johnson County Aging &amp; Human Services – Community Food Pantries (jocogov.org)</t>
        </is>
      </c>
      <c r="Q10" s="8" t="inlineStr"/>
    </row>
    <row r="11">
      <c r="A11" s="7" t="inlineStr"/>
      <c r="B11" s="8" t="inlineStr">
        <is>
          <t>Approve</t>
        </is>
      </c>
      <c r="C11" s="8" t="inlineStr">
        <is>
          <t>City Center Church Food Pantry</t>
        </is>
      </c>
      <c r="D11" s="8" t="inlineStr">
        <is>
          <t>City Center Church</t>
        </is>
      </c>
      <c r="E11" s="8" t="inlineStr">
        <is>
          <t>food</t>
        </is>
      </c>
      <c r="F11" s="8" t="inlineStr">
        <is>
          <t>17500 W 87th Street Parkway</t>
        </is>
      </c>
      <c r="G11" s="8" t="inlineStr">
        <is>
          <t>Lenexa</t>
        </is>
      </c>
      <c r="H11" s="8" t="inlineStr">
        <is>
          <t>KS</t>
        </is>
      </c>
      <c r="I11" s="9" t="inlineStr">
        <is>
          <t>66219</t>
        </is>
      </c>
      <c r="J11" s="8" t="inlineStr">
        <is>
          <t>(913) 408-7745</t>
        </is>
      </c>
      <c r="K11" s="8" t="inlineStr">
        <is>
          <t>Sun 12:00pm-1:00pm; Mon 6:30pm-7:30pm</t>
        </is>
      </c>
      <c r="L11" s="8" t="inlineStr">
        <is>
          <t>Food Pantry</t>
        </is>
      </c>
      <c r="M11" s="8" t="inlineStr"/>
      <c r="N11" s="8" t="inlineStr">
        <is>
          <t>Enter through Door 9.</t>
        </is>
      </c>
      <c r="O11" s="8" t="inlineStr"/>
      <c r="P11" s="8" t="inlineStr">
        <is>
          <t>Johnson County Aging &amp; Human Services – Community Food Pantries (jocogov.org)</t>
        </is>
      </c>
      <c r="Q11" s="8" t="inlineStr"/>
    </row>
    <row r="12">
      <c r="A12" s="7" t="inlineStr"/>
      <c r="B12" s="8" t="inlineStr">
        <is>
          <t>Approve</t>
        </is>
      </c>
      <c r="C12" s="8" t="inlineStr">
        <is>
          <t>De Soto Kansas Food Pantry</t>
        </is>
      </c>
      <c r="D12" s="8" t="inlineStr">
        <is>
          <t>De Soto Kansas Food Pantry</t>
        </is>
      </c>
      <c r="E12" s="8" t="inlineStr">
        <is>
          <t>food</t>
        </is>
      </c>
      <c r="F12" s="8" t="inlineStr">
        <is>
          <t>32905 W 84th Street</t>
        </is>
      </c>
      <c r="G12" s="8" t="inlineStr">
        <is>
          <t>De Soto</t>
        </is>
      </c>
      <c r="H12" s="8" t="inlineStr">
        <is>
          <t>KS</t>
        </is>
      </c>
      <c r="I12" s="9" t="inlineStr">
        <is>
          <t>66018</t>
        </is>
      </c>
      <c r="J12" s="8" t="inlineStr">
        <is>
          <t>(913) 583-1152</t>
        </is>
      </c>
      <c r="K12" s="8" t="inlineStr">
        <is>
          <t>Tue 10:00am-12:00pm; Thu 4:00pm-6:00pm; Sat 9:00am-11:00am</t>
        </is>
      </c>
      <c r="L12" s="8" t="inlineStr">
        <is>
          <t>Food Pantry</t>
        </is>
      </c>
      <c r="M12" s="8" t="inlineStr">
        <is>
          <t>De Soto residents</t>
        </is>
      </c>
      <c r="N12" s="8" t="inlineStr"/>
      <c r="O12" s="8" t="inlineStr"/>
      <c r="P12" s="8" t="inlineStr">
        <is>
          <t>Johnson County Aging &amp; Human Services – Community Food Pantries (jocogov.org)</t>
        </is>
      </c>
      <c r="Q12" s="8" t="inlineStr"/>
    </row>
    <row r="13">
      <c r="A13" s="7" t="inlineStr"/>
      <c r="B13" s="8" t="inlineStr">
        <is>
          <t>Approve</t>
        </is>
      </c>
      <c r="C13" s="8" t="inlineStr">
        <is>
          <t>Divine Mercy Church Mobile Food Pantry</t>
        </is>
      </c>
      <c r="D13" s="8" t="inlineStr">
        <is>
          <t>Divine Mercy Parish</t>
        </is>
      </c>
      <c r="E13" s="8" t="inlineStr">
        <is>
          <t>food</t>
        </is>
      </c>
      <c r="F13" s="8" t="inlineStr">
        <is>
          <t>555 W Main Street</t>
        </is>
      </c>
      <c r="G13" s="8" t="inlineStr">
        <is>
          <t>Gardner</t>
        </is>
      </c>
      <c r="H13" s="8" t="inlineStr">
        <is>
          <t>KS</t>
        </is>
      </c>
      <c r="I13" s="9" t="inlineStr">
        <is>
          <t>66030</t>
        </is>
      </c>
      <c r="J13" s="8" t="inlineStr">
        <is>
          <t>(913) 856-7781</t>
        </is>
      </c>
      <c r="K13" s="8" t="inlineStr">
        <is>
          <t>2nd Thu 1:00pm; 3rd Sat 12:00pm (at 1200 Energy Center Dr)</t>
        </is>
      </c>
      <c r="L13" s="8" t="inlineStr">
        <is>
          <t>Food Pantry</t>
        </is>
      </c>
      <c r="M13" s="8" t="inlineStr">
        <is>
          <t>All are welcome</t>
        </is>
      </c>
      <c r="N13" s="8" t="inlineStr"/>
      <c r="O13" s="8" t="inlineStr"/>
      <c r="P13" s="8" t="inlineStr">
        <is>
          <t>Johnson County Aging &amp; Human Services – Community Food Pantries (jocogov.org)</t>
        </is>
      </c>
      <c r="Q13" s="8" t="inlineStr"/>
    </row>
    <row r="14">
      <c r="A14" s="7" t="inlineStr"/>
      <c r="B14" s="8" t="inlineStr">
        <is>
          <t>Approve</t>
        </is>
      </c>
      <c r="C14" s="8" t="inlineStr">
        <is>
          <t>Edgerton Food Pantry</t>
        </is>
      </c>
      <c r="D14" s="8" t="inlineStr">
        <is>
          <t>New City Church</t>
        </is>
      </c>
      <c r="E14" s="8" t="inlineStr">
        <is>
          <t>food</t>
        </is>
      </c>
      <c r="F14" s="8" t="inlineStr">
        <is>
          <t>517 W Morgan Street</t>
        </is>
      </c>
      <c r="G14" s="8" t="inlineStr">
        <is>
          <t>Edgerton</t>
        </is>
      </c>
      <c r="H14" s="8" t="inlineStr">
        <is>
          <t>KS</t>
        </is>
      </c>
      <c r="I14" s="9" t="inlineStr">
        <is>
          <t>66021</t>
        </is>
      </c>
      <c r="J14" s="8" t="inlineStr">
        <is>
          <t>(913) 882-6735</t>
        </is>
      </c>
      <c r="K14" s="8" t="inlineStr">
        <is>
          <t>3rd Sat 10:00am-12:00pm</t>
        </is>
      </c>
      <c r="L14" s="8" t="inlineStr">
        <is>
          <t>Food Pantry</t>
        </is>
      </c>
      <c r="M14" s="8" t="inlineStr">
        <is>
          <t>Residents of the Gardner/Edgerton school district</t>
        </is>
      </c>
      <c r="N14" s="8" t="inlineStr"/>
      <c r="O14" s="8" t="inlineStr"/>
      <c r="P14" s="8" t="inlineStr">
        <is>
          <t>Johnson County Aging &amp; Human Services – Community Food Pantries (jocogov.org)</t>
        </is>
      </c>
      <c r="Q14" s="8" t="inlineStr"/>
    </row>
    <row r="15">
      <c r="A15" s="7" t="inlineStr"/>
      <c r="B15" s="8" t="inlineStr">
        <is>
          <t>Approve</t>
        </is>
      </c>
      <c r="C15" s="8" t="inlineStr">
        <is>
          <t>First Christian Church of Olathe Food Pantry</t>
        </is>
      </c>
      <c r="D15" s="8" t="inlineStr">
        <is>
          <t>First Christian Church of Olathe</t>
        </is>
      </c>
      <c r="E15" s="8" t="inlineStr">
        <is>
          <t>food</t>
        </is>
      </c>
      <c r="F15" s="8" t="inlineStr">
        <is>
          <t>200 E Loula Street</t>
        </is>
      </c>
      <c r="G15" s="8" t="inlineStr">
        <is>
          <t>Olathe</t>
        </is>
      </c>
      <c r="H15" s="8" t="inlineStr">
        <is>
          <t>KS</t>
        </is>
      </c>
      <c r="I15" s="9" t="inlineStr">
        <is>
          <t>66061</t>
        </is>
      </c>
      <c r="J15" s="8" t="inlineStr">
        <is>
          <t>(913) 764-3555</t>
        </is>
      </c>
      <c r="K15" s="8" t="inlineStr">
        <is>
          <t>Thu 9:00am-11:00am</t>
        </is>
      </c>
      <c r="L15" s="8" t="inlineStr">
        <is>
          <t>Food Pantry</t>
        </is>
      </c>
      <c r="M15" s="8" t="inlineStr">
        <is>
          <t>Photo ID, plus names and ages of everyone in the household</t>
        </is>
      </c>
      <c r="N15" s="8" t="inlineStr"/>
      <c r="O15" s="8" t="inlineStr"/>
      <c r="P15" s="8" t="inlineStr">
        <is>
          <t>Johnson County Aging &amp; Human Services – Community Food Pantries (jocogov.org)</t>
        </is>
      </c>
      <c r="Q15" s="8" t="inlineStr"/>
    </row>
    <row r="16">
      <c r="A16" s="7" t="inlineStr"/>
      <c r="B16" s="8" t="inlineStr">
        <is>
          <t>Approve</t>
        </is>
      </c>
      <c r="C16" s="8" t="inlineStr">
        <is>
          <t>Heartland Food Pantry</t>
        </is>
      </c>
      <c r="D16" s="8" t="inlineStr">
        <is>
          <t>Heartland Community Church</t>
        </is>
      </c>
      <c r="E16" s="8" t="inlineStr">
        <is>
          <t>food</t>
        </is>
      </c>
      <c r="F16" s="8" t="inlineStr">
        <is>
          <t>12175 S Strang Line Road</t>
        </is>
      </c>
      <c r="G16" s="8" t="inlineStr">
        <is>
          <t>Olathe</t>
        </is>
      </c>
      <c r="H16" s="8" t="inlineStr">
        <is>
          <t>KS</t>
        </is>
      </c>
      <c r="I16" s="9" t="inlineStr">
        <is>
          <t>66062</t>
        </is>
      </c>
      <c r="J16" s="8" t="inlineStr">
        <is>
          <t>(913) 341-5820</t>
        </is>
      </c>
      <c r="K16" s="8" t="inlineStr">
        <is>
          <t>Sun 10:30am-11:00am (drive up for a grocery box)</t>
        </is>
      </c>
      <c r="L16" s="8" t="inlineStr">
        <is>
          <t>Food Pantry</t>
        </is>
      </c>
      <c r="M16" s="8" t="inlineStr"/>
      <c r="N16" s="8" t="inlineStr"/>
      <c r="O16" s="8" t="inlineStr"/>
      <c r="P16" s="8" t="inlineStr">
        <is>
          <t>Johnson County Aging &amp; Human Services – Community Food Pantries (jocogov.org)</t>
        </is>
      </c>
      <c r="Q16" s="8" t="inlineStr"/>
    </row>
    <row r="17">
      <c r="A17" s="7" t="inlineStr"/>
      <c r="B17" s="8" t="inlineStr">
        <is>
          <t>Approve</t>
        </is>
      </c>
      <c r="C17" s="8" t="inlineStr">
        <is>
          <t>Hope Chapel Food Pantry</t>
        </is>
      </c>
      <c r="D17" s="8" t="inlineStr">
        <is>
          <t>Hope Chapel</t>
        </is>
      </c>
      <c r="E17" s="8" t="inlineStr">
        <is>
          <t>food</t>
        </is>
      </c>
      <c r="F17" s="8" t="inlineStr">
        <is>
          <t>12480 S Blackbob Road</t>
        </is>
      </c>
      <c r="G17" s="8" t="inlineStr">
        <is>
          <t>Olathe</t>
        </is>
      </c>
      <c r="H17" s="8" t="inlineStr">
        <is>
          <t>KS</t>
        </is>
      </c>
      <c r="I17" s="9" t="inlineStr">
        <is>
          <t>66062</t>
        </is>
      </c>
      <c r="J17" s="8" t="inlineStr">
        <is>
          <t>(913) 829-0712</t>
        </is>
      </c>
      <c r="K17" s="8" t="inlineStr">
        <is>
          <t>Mobile pantry 1st Sat 7:00am-9:00am; Walk-in 2nd &amp; 4th Tue 12:00pm-2:00pm</t>
        </is>
      </c>
      <c r="L17" s="8" t="inlineStr">
        <is>
          <t>Food Pantry</t>
        </is>
      </c>
      <c r="M17" s="8" t="inlineStr"/>
      <c r="N17" s="8" t="inlineStr"/>
      <c r="O17" s="8" t="inlineStr"/>
      <c r="P17" s="8" t="inlineStr">
        <is>
          <t>Johnson County Aging &amp; Human Services – Community Food Pantries (jocogov.org)</t>
        </is>
      </c>
      <c r="Q17" s="8" t="inlineStr"/>
    </row>
    <row r="18">
      <c r="A18" s="7" t="inlineStr"/>
      <c r="B18" s="8" t="inlineStr">
        <is>
          <t>Approve</t>
        </is>
      </c>
      <c r="C18" s="8" t="inlineStr">
        <is>
          <t>Hope Market</t>
        </is>
      </c>
      <c r="D18" s="8" t="inlineStr">
        <is>
          <t>Hope Market</t>
        </is>
      </c>
      <c r="E18" s="8" t="inlineStr">
        <is>
          <t>food</t>
        </is>
      </c>
      <c r="F18" s="8" t="inlineStr">
        <is>
          <t>1200 Energy Center Drive</t>
        </is>
      </c>
      <c r="G18" s="8" t="inlineStr">
        <is>
          <t>Gardner</t>
        </is>
      </c>
      <c r="H18" s="8" t="inlineStr">
        <is>
          <t>KS</t>
        </is>
      </c>
      <c r="I18" s="9" t="inlineStr">
        <is>
          <t>66030</t>
        </is>
      </c>
      <c r="J18" s="8" t="inlineStr">
        <is>
          <t>(913) 586-6110</t>
        </is>
      </c>
      <c r="K18" s="8" t="inlineStr">
        <is>
          <t>Tue 5:00pm-7:00pm; Thu 8:00am-11:00am; Sat 9:00am-12:00pm</t>
        </is>
      </c>
      <c r="L18" s="8" t="inlineStr">
        <is>
          <t>Food Pantry</t>
        </is>
      </c>
      <c r="M18" s="8" t="inlineStr">
        <is>
          <t>ID and proof of address required. Appointments encouraged.</t>
        </is>
      </c>
      <c r="N18" s="8" t="inlineStr"/>
      <c r="O18" s="8" t="inlineStr"/>
      <c r="P18" s="8" t="inlineStr">
        <is>
          <t>Johnson County Aging &amp; Human Services – Community Food Pantries (jocogov.org)</t>
        </is>
      </c>
      <c r="Q18" s="8" t="inlineStr">
        <is>
          <t>UCS guide lists 611 E Main; the county page has the newer Energy Center Dr address.</t>
        </is>
      </c>
    </row>
    <row r="19">
      <c r="A19" s="7" t="inlineStr"/>
      <c r="B19" s="8" t="inlineStr">
        <is>
          <t>Approve</t>
        </is>
      </c>
      <c r="C19" s="8" t="inlineStr">
        <is>
          <t>Indian Heights United Methodist Church Food Pantry</t>
        </is>
      </c>
      <c r="D19" s="8" t="inlineStr">
        <is>
          <t>Indian Heights United Methodist Church</t>
        </is>
      </c>
      <c r="E19" s="8" t="inlineStr">
        <is>
          <t>food</t>
        </is>
      </c>
      <c r="F19" s="8" t="inlineStr">
        <is>
          <t>10211 Nall Avenue</t>
        </is>
      </c>
      <c r="G19" s="8" t="inlineStr">
        <is>
          <t>Overland Park</t>
        </is>
      </c>
      <c r="H19" s="8" t="inlineStr">
        <is>
          <t>KS</t>
        </is>
      </c>
      <c r="I19" s="9" t="inlineStr">
        <is>
          <t>66207</t>
        </is>
      </c>
      <c r="J19" s="8" t="inlineStr"/>
      <c r="K19" s="8" t="inlineStr">
        <is>
          <t>Mon, Tue &amp; Thu 10:00am-4:00pm; Wed 1:00pm-6:00pm</t>
        </is>
      </c>
      <c r="L19" s="8" t="inlineStr">
        <is>
          <t>Food Pantry</t>
        </is>
      </c>
      <c r="M19" s="8" t="inlineStr"/>
      <c r="N19" s="8" t="inlineStr"/>
      <c r="O19" s="8" t="inlineStr"/>
      <c r="P19" s="8" t="inlineStr">
        <is>
          <t>Johnson County Aging &amp; Human Services – Community Food Pantries (jocogov.org)</t>
        </is>
      </c>
      <c r="Q19" s="8" t="inlineStr"/>
    </row>
    <row r="20">
      <c r="A20" s="7" t="inlineStr"/>
      <c r="B20" s="8" t="inlineStr">
        <is>
          <t>Approve</t>
        </is>
      </c>
      <c r="C20" s="8" t="inlineStr">
        <is>
          <t>Johnson County Aging &amp; Human Services Food Pantries</t>
        </is>
      </c>
      <c r="D20" s="8" t="inlineStr">
        <is>
          <t>Johnson County Aging &amp; Human Services</t>
        </is>
      </c>
      <c r="E20" s="8" t="inlineStr">
        <is>
          <t>food</t>
        </is>
      </c>
      <c r="F20" s="8" t="inlineStr">
        <is>
          <t>Call for location</t>
        </is>
      </c>
      <c r="G20" s="8" t="inlineStr"/>
      <c r="H20" s="8" t="inlineStr"/>
      <c r="I20" s="9" t="inlineStr"/>
      <c r="J20" s="8" t="inlineStr">
        <is>
          <t>(913) 715-6653</t>
        </is>
      </c>
      <c r="K20" s="8" t="inlineStr">
        <is>
          <t>By appointment</t>
        </is>
      </c>
      <c r="L20" s="8" t="inlineStr">
        <is>
          <t>Food Pantry</t>
        </is>
      </c>
      <c r="M20" s="8" t="inlineStr">
        <is>
          <t>Johnson County residents. Everyone in the household must meet poverty guidelines and bring proof of income, photo ID and Social Security card.</t>
        </is>
      </c>
      <c r="N20" s="8" t="inlineStr">
        <is>
          <t>County-run pantries at the North Central (Lenexa), North East (Mission) and South West (Gardner) multi-service centers.</t>
        </is>
      </c>
      <c r="O20" s="8" t="inlineStr"/>
      <c r="P20" s="8" t="inlineStr">
        <is>
          <t>Johnson County Aging &amp; Human Services – Community Food Pantries (jocogov.org)</t>
        </is>
      </c>
      <c r="Q20" s="8" t="inlineStr"/>
    </row>
    <row r="21">
      <c r="A21" s="7" t="inlineStr"/>
      <c r="B21" s="8" t="inlineStr">
        <is>
          <t>Approve</t>
        </is>
      </c>
      <c r="C21" s="8" t="inlineStr">
        <is>
          <t>Leawood Presbyterian Church Food Pantry</t>
        </is>
      </c>
      <c r="D21" s="8" t="inlineStr">
        <is>
          <t>Leawood Presbyterian Church</t>
        </is>
      </c>
      <c r="E21" s="8" t="inlineStr">
        <is>
          <t>food</t>
        </is>
      </c>
      <c r="F21" s="8" t="inlineStr">
        <is>
          <t>2715 W 83rd Street</t>
        </is>
      </c>
      <c r="G21" s="8" t="inlineStr">
        <is>
          <t>Leawood</t>
        </is>
      </c>
      <c r="H21" s="8" t="inlineStr">
        <is>
          <t>KS</t>
        </is>
      </c>
      <c r="I21" s="9" t="inlineStr">
        <is>
          <t>66206</t>
        </is>
      </c>
      <c r="J21" s="8" t="inlineStr">
        <is>
          <t>(913) 649-1144</t>
        </is>
      </c>
      <c r="K21" s="8" t="inlineStr">
        <is>
          <t>Sat 9:00am-11:00am</t>
        </is>
      </c>
      <c r="L21" s="8" t="inlineStr">
        <is>
          <t>Food Pantry</t>
        </is>
      </c>
      <c r="M21" s="8" t="inlineStr">
        <is>
          <t>All are welcome</t>
        </is>
      </c>
      <c r="N21" s="8" t="inlineStr"/>
      <c r="O21" s="8" t="inlineStr"/>
      <c r="P21" s="8" t="inlineStr">
        <is>
          <t>Johnson County Aging &amp; Human Services – Community Food Pantries (jocogov.org)</t>
        </is>
      </c>
      <c r="Q21" s="8" t="inlineStr"/>
    </row>
    <row r="22">
      <c r="A22" s="7" t="inlineStr"/>
      <c r="B22" s="8" t="inlineStr">
        <is>
          <t>Optional</t>
        </is>
      </c>
      <c r="C22" s="8" t="inlineStr">
        <is>
          <t>Manna Ministries</t>
        </is>
      </c>
      <c r="D22" s="8" t="inlineStr">
        <is>
          <t>Westside Church of the Nazarene</t>
        </is>
      </c>
      <c r="E22" s="8" t="inlineStr">
        <is>
          <t>food</t>
        </is>
      </c>
      <c r="F22" s="8" t="inlineStr">
        <is>
          <t>1700 W Santa Fe Street</t>
        </is>
      </c>
      <c r="G22" s="8" t="inlineStr">
        <is>
          <t>Olathe</t>
        </is>
      </c>
      <c r="H22" s="8" t="inlineStr">
        <is>
          <t>KS</t>
        </is>
      </c>
      <c r="I22" s="9" t="inlineStr">
        <is>
          <t>66061</t>
        </is>
      </c>
      <c r="J22" s="8" t="inlineStr">
        <is>
          <t>(913) 764-1445</t>
        </is>
      </c>
      <c r="K22" s="8" t="inlineStr">
        <is>
          <t>Sun: register 10:30am, groceries after the 11am service</t>
        </is>
      </c>
      <c r="L22" s="8" t="inlineStr">
        <is>
          <t>Food Pantry</t>
        </is>
      </c>
      <c r="M22" s="8" t="inlineStr">
        <is>
          <t>Must register and attend the worship service</t>
        </is>
      </c>
      <c r="N22" s="8" t="inlineStr"/>
      <c r="O22" s="8" t="inlineStr"/>
      <c r="P22" s="8" t="inlineStr">
        <is>
          <t>Johnson County Aging &amp; Human Services – Community Food Pantries (jocogov.org)</t>
        </is>
      </c>
      <c r="Q22" s="8" t="inlineStr">
        <is>
          <t>Requires attending a service.</t>
        </is>
      </c>
    </row>
    <row r="23">
      <c r="A23" s="7" t="inlineStr"/>
      <c r="B23" s="8" t="inlineStr">
        <is>
          <t>Approve</t>
        </is>
      </c>
      <c r="C23" s="8" t="inlineStr">
        <is>
          <t>Mission Community Food Pantry</t>
        </is>
      </c>
      <c r="D23" s="8" t="inlineStr">
        <is>
          <t>Trinity Lutheran Church</t>
        </is>
      </c>
      <c r="E23" s="8" t="inlineStr">
        <is>
          <t>food</t>
        </is>
      </c>
      <c r="F23" s="8" t="inlineStr">
        <is>
          <t>5601 W 62nd Street</t>
        </is>
      </c>
      <c r="G23" s="8" t="inlineStr">
        <is>
          <t>Mission</t>
        </is>
      </c>
      <c r="H23" s="8" t="inlineStr">
        <is>
          <t>KS</t>
        </is>
      </c>
      <c r="I23" s="9" t="inlineStr">
        <is>
          <t>66202</t>
        </is>
      </c>
      <c r="J23" s="8" t="inlineStr">
        <is>
          <t>(913) 579-4946</t>
        </is>
      </c>
      <c r="K23" s="8" t="inlineStr">
        <is>
          <t>2nd &amp; 4th Thu 4:00pm-8:00pm</t>
        </is>
      </c>
      <c r="L23" s="8" t="inlineStr">
        <is>
          <t>Food Pantry</t>
        </is>
      </c>
      <c r="M23" s="8" t="inlineStr"/>
      <c r="N23" s="8" t="inlineStr"/>
      <c r="O23" s="8" t="inlineStr"/>
      <c r="P23" s="8" t="inlineStr">
        <is>
          <t>Johnson County Aging &amp; Human Services – Community Food Pantries (jocogov.org)</t>
        </is>
      </c>
      <c r="Q23" s="8" t="inlineStr">
        <is>
          <t>UCS guide calls it Trinity Lutheran 'Smiling Hearts', phone (913) 432-5441.</t>
        </is>
      </c>
    </row>
    <row r="24">
      <c r="A24" s="7" t="inlineStr"/>
      <c r="B24" s="8" t="inlineStr">
        <is>
          <t>Approve</t>
        </is>
      </c>
      <c r="C24" s="8" t="inlineStr">
        <is>
          <t>Nall Avenue Baptist Church Food Pantry</t>
        </is>
      </c>
      <c r="D24" s="8" t="inlineStr">
        <is>
          <t>Nall Avenue Baptist Church</t>
        </is>
      </c>
      <c r="E24" s="8" t="inlineStr">
        <is>
          <t>food</t>
        </is>
      </c>
      <c r="F24" s="8" t="inlineStr">
        <is>
          <t>6701 Nall Avenue</t>
        </is>
      </c>
      <c r="G24" s="8" t="inlineStr">
        <is>
          <t>Prairie Village</t>
        </is>
      </c>
      <c r="H24" s="8" t="inlineStr">
        <is>
          <t>KS</t>
        </is>
      </c>
      <c r="I24" s="9" t="inlineStr">
        <is>
          <t>66208</t>
        </is>
      </c>
      <c r="J24" s="8" t="inlineStr">
        <is>
          <t>(913) 432-4141 (option 2)</t>
        </is>
      </c>
      <c r="K24" s="8" t="inlineStr">
        <is>
          <t>By appointment</t>
        </is>
      </c>
      <c r="L24" s="8" t="inlineStr">
        <is>
          <t>Food Pantry</t>
        </is>
      </c>
      <c r="M24" s="8" t="inlineStr"/>
      <c r="N24" s="8" t="inlineStr"/>
      <c r="O24" s="8" t="inlineStr"/>
      <c r="P24" s="8" t="inlineStr">
        <is>
          <t>Johnson County Aging &amp; Human Services – Community Food Pantries (jocogov.org)</t>
        </is>
      </c>
      <c r="Q24" s="8" t="inlineStr"/>
    </row>
    <row r="25">
      <c r="A25" s="7" t="inlineStr"/>
      <c r="B25" s="8" t="inlineStr">
        <is>
          <t>Approve</t>
        </is>
      </c>
      <c r="C25" s="8" t="inlineStr">
        <is>
          <t>New Hope Food Pantry</t>
        </is>
      </c>
      <c r="D25" s="8" t="inlineStr">
        <is>
          <t>New Hope Presbyterian Church</t>
        </is>
      </c>
      <c r="E25" s="8" t="inlineStr">
        <is>
          <t>food</t>
        </is>
      </c>
      <c r="F25" s="8" t="inlineStr">
        <is>
          <t>13310 S Blackbob Road</t>
        </is>
      </c>
      <c r="G25" s="8" t="inlineStr">
        <is>
          <t>Olathe</t>
        </is>
      </c>
      <c r="H25" s="8" t="inlineStr">
        <is>
          <t>KS</t>
        </is>
      </c>
      <c r="I25" s="9" t="inlineStr">
        <is>
          <t>66062</t>
        </is>
      </c>
      <c r="J25" s="8" t="inlineStr">
        <is>
          <t>(913) 782-0955</t>
        </is>
      </c>
      <c r="K25" s="8" t="inlineStr">
        <is>
          <t>Mon-Fri 1:00pm-6:00pm</t>
        </is>
      </c>
      <c r="L25" s="8" t="inlineStr">
        <is>
          <t>Food Pantry</t>
        </is>
      </c>
      <c r="M25" s="8" t="inlineStr">
        <is>
          <t>Photo ID and proof of residency in Johnson, Wyandotte or Miami County</t>
        </is>
      </c>
      <c r="N25" s="8" t="inlineStr"/>
      <c r="O25" s="8" t="inlineStr"/>
      <c r="P25" s="8" t="inlineStr">
        <is>
          <t>Johnson County Aging &amp; Human Services – Community Food Pantries (jocogov.org)</t>
        </is>
      </c>
      <c r="Q25" s="8" t="inlineStr"/>
    </row>
    <row r="26">
      <c r="A26" s="7" t="inlineStr"/>
      <c r="B26" s="8" t="inlineStr">
        <is>
          <t>Approve</t>
        </is>
      </c>
      <c r="C26" s="8" t="inlineStr">
        <is>
          <t>Nexus Church Food Pantry</t>
        </is>
      </c>
      <c r="D26" s="8" t="inlineStr">
        <is>
          <t>Nexus Church</t>
        </is>
      </c>
      <c r="E26" s="8" t="inlineStr">
        <is>
          <t>food</t>
        </is>
      </c>
      <c r="F26" s="8" t="inlineStr">
        <is>
          <t>15101 College Boulevard</t>
        </is>
      </c>
      <c r="G26" s="8" t="inlineStr">
        <is>
          <t>Lenexa</t>
        </is>
      </c>
      <c r="H26" s="8" t="inlineStr">
        <is>
          <t>KS</t>
        </is>
      </c>
      <c r="I26" s="9" t="inlineStr">
        <is>
          <t>66219</t>
        </is>
      </c>
      <c r="J26" s="8" t="inlineStr">
        <is>
          <t>(913) 605-2688</t>
        </is>
      </c>
      <c r="K26" s="8" t="inlineStr">
        <is>
          <t>By appointment only (sign up online)</t>
        </is>
      </c>
      <c r="L26" s="8" t="inlineStr">
        <is>
          <t>Food Pantry</t>
        </is>
      </c>
      <c r="M26" s="8" t="inlineStr"/>
      <c r="N26" s="8" t="inlineStr"/>
      <c r="O26" s="8" t="inlineStr"/>
      <c r="P26" s="8" t="inlineStr">
        <is>
          <t>Johnson County Aging &amp; Human Services – Community Food Pantries (jocogov.org)</t>
        </is>
      </c>
      <c r="Q26" s="8" t="inlineStr"/>
    </row>
    <row r="27">
      <c r="A27" s="7" t="inlineStr"/>
      <c r="B27" s="8" t="inlineStr">
        <is>
          <t>Optional</t>
        </is>
      </c>
      <c r="C27" s="8" t="inlineStr">
        <is>
          <t>Olathe YMCA Food Pantry</t>
        </is>
      </c>
      <c r="D27" s="8" t="inlineStr">
        <is>
          <t>YMCA of Greater Kansas City</t>
        </is>
      </c>
      <c r="E27" s="8" t="inlineStr">
        <is>
          <t>food</t>
        </is>
      </c>
      <c r="F27" s="8" t="inlineStr">
        <is>
          <t>21400 W 153rd Street</t>
        </is>
      </c>
      <c r="G27" s="8" t="inlineStr">
        <is>
          <t>Olathe</t>
        </is>
      </c>
      <c r="H27" s="8" t="inlineStr">
        <is>
          <t>KS</t>
        </is>
      </c>
      <c r="I27" s="9" t="inlineStr">
        <is>
          <t>66061</t>
        </is>
      </c>
      <c r="J27" s="8" t="inlineStr">
        <is>
          <t>(913) 393-9622</t>
        </is>
      </c>
      <c r="K27" s="8" t="inlineStr">
        <is>
          <t>Call for hours</t>
        </is>
      </c>
      <c r="L27" s="8" t="inlineStr">
        <is>
          <t>Food Pantry</t>
        </is>
      </c>
      <c r="M27" s="8" t="inlineStr"/>
      <c r="N27" s="8" t="inlineStr"/>
      <c r="O27" s="8" t="inlineStr"/>
      <c r="P27" s="8" t="inlineStr">
        <is>
          <t>UCS Johnson County Emergency Assistance Guide (June 2026)</t>
        </is>
      </c>
      <c r="Q27" s="8" t="inlineStr">
        <is>
          <t>Only in the UCS guide, with no hours.</t>
        </is>
      </c>
    </row>
    <row r="28">
      <c r="A28" s="7" t="inlineStr"/>
      <c r="B28" s="8" t="inlineStr">
        <is>
          <t>Approve</t>
        </is>
      </c>
      <c r="C28" s="8" t="inlineStr">
        <is>
          <t>Overland Park Christian Church Food Pantry</t>
        </is>
      </c>
      <c r="D28" s="8" t="inlineStr">
        <is>
          <t>Overland Park Christian Church</t>
        </is>
      </c>
      <c r="E28" s="8" t="inlineStr">
        <is>
          <t>food</t>
        </is>
      </c>
      <c r="F28" s="8" t="inlineStr">
        <is>
          <t>7600 W 75th Street</t>
        </is>
      </c>
      <c r="G28" s="8" t="inlineStr">
        <is>
          <t>Overland Park</t>
        </is>
      </c>
      <c r="H28" s="8" t="inlineStr">
        <is>
          <t>KS</t>
        </is>
      </c>
      <c r="I28" s="9" t="inlineStr">
        <is>
          <t>66204</t>
        </is>
      </c>
      <c r="J28" s="8" t="inlineStr">
        <is>
          <t>(913) 677-4646</t>
        </is>
      </c>
      <c r="K28" s="8" t="inlineStr">
        <is>
          <t>Call for hours</t>
        </is>
      </c>
      <c r="L28" s="8" t="inlineStr">
        <is>
          <t>Food Pantry</t>
        </is>
      </c>
      <c r="M28" s="8" t="inlineStr"/>
      <c r="N28" s="8" t="inlineStr"/>
      <c r="O28" s="8" t="inlineStr"/>
      <c r="P28" s="8" t="inlineStr">
        <is>
          <t>UCS Johnson County Emergency Assistance Guide (June 2026)</t>
        </is>
      </c>
      <c r="Q28" s="8" t="inlineStr"/>
    </row>
    <row r="29">
      <c r="A29" s="7" t="inlineStr"/>
      <c r="B29" s="8" t="inlineStr">
        <is>
          <t>Approve</t>
        </is>
      </c>
      <c r="C29" s="8" t="inlineStr">
        <is>
          <t>Overland Park Church of Christ Food Pantry</t>
        </is>
      </c>
      <c r="D29" s="8" t="inlineStr">
        <is>
          <t>Overland Park Church of Christ</t>
        </is>
      </c>
      <c r="E29" s="8" t="inlineStr">
        <is>
          <t>food</t>
        </is>
      </c>
      <c r="F29" s="8" t="inlineStr">
        <is>
          <t>13400 W 119th Street</t>
        </is>
      </c>
      <c r="G29" s="8" t="inlineStr">
        <is>
          <t>Overland Park</t>
        </is>
      </c>
      <c r="H29" s="8" t="inlineStr">
        <is>
          <t>KS</t>
        </is>
      </c>
      <c r="I29" s="9" t="inlineStr">
        <is>
          <t>66213</t>
        </is>
      </c>
      <c r="J29" s="8" t="inlineStr">
        <is>
          <t>(913) 696-1516</t>
        </is>
      </c>
      <c r="K29" s="8" t="inlineStr">
        <is>
          <t>Call for hours</t>
        </is>
      </c>
      <c r="L29" s="8" t="inlineStr">
        <is>
          <t>Food Pantry</t>
        </is>
      </c>
      <c r="M29" s="8" t="inlineStr"/>
      <c r="N29" s="8" t="inlineStr"/>
      <c r="O29" s="8" t="inlineStr"/>
      <c r="P29" s="8" t="inlineStr">
        <is>
          <t>UCS Johnson County Emergency Assistance Guide (June 2026)</t>
        </is>
      </c>
      <c r="Q29" s="8" t="inlineStr"/>
    </row>
    <row r="30">
      <c r="A30" s="7" t="inlineStr"/>
      <c r="B30" s="8" t="inlineStr">
        <is>
          <t>Approve</t>
        </is>
      </c>
      <c r="C30" s="8" t="inlineStr">
        <is>
          <t>ReNewed Hope Food Pantry</t>
        </is>
      </c>
      <c r="D30" s="8" t="inlineStr">
        <is>
          <t>ReNewed Hope Food Pantry</t>
        </is>
      </c>
      <c r="E30" s="8" t="inlineStr">
        <is>
          <t>food</t>
        </is>
      </c>
      <c r="F30" s="8" t="inlineStr">
        <is>
          <t>8714 Antioch Road</t>
        </is>
      </c>
      <c r="G30" s="8" t="inlineStr">
        <is>
          <t>Overland Park</t>
        </is>
      </c>
      <c r="H30" s="8" t="inlineStr">
        <is>
          <t>KS</t>
        </is>
      </c>
      <c r="I30" s="9" t="inlineStr">
        <is>
          <t>66212</t>
        </is>
      </c>
      <c r="J30" s="8" t="inlineStr">
        <is>
          <t>(913) 263-2802</t>
        </is>
      </c>
      <c r="K30" s="8" t="inlineStr">
        <is>
          <t>Tue 10:00am-11:00am; Thu 5:45pm-6:30pm; Drive-through Thu 6:00pm-6:30pm (appointment only)</t>
        </is>
      </c>
      <c r="L30" s="8" t="inlineStr">
        <is>
          <t>Food Pantry</t>
        </is>
      </c>
      <c r="M30" s="8" t="inlineStr">
        <is>
          <t>Register for a Link2feed card</t>
        </is>
      </c>
      <c r="N30" s="8" t="inlineStr"/>
      <c r="O30" s="8" t="inlineStr">
        <is>
          <t>https://www.rhfp.org</t>
        </is>
      </c>
      <c r="P30" s="8" t="inlineStr">
        <is>
          <t>Johnson County Aging &amp; Human Services – Community Food Pantries (jocogov.org)</t>
        </is>
      </c>
      <c r="Q30" s="8" t="inlineStr"/>
    </row>
    <row r="31">
      <c r="A31" s="7" t="inlineStr"/>
      <c r="B31" s="8" t="inlineStr">
        <is>
          <t>Approve</t>
        </is>
      </c>
      <c r="C31" s="8" t="inlineStr">
        <is>
          <t>Redemption Church Food Pantry</t>
        </is>
      </c>
      <c r="D31" s="8" t="inlineStr">
        <is>
          <t>Redemption Church</t>
        </is>
      </c>
      <c r="E31" s="8" t="inlineStr">
        <is>
          <t>food</t>
        </is>
      </c>
      <c r="F31" s="8" t="inlineStr">
        <is>
          <t>515 S Ridgeview Road</t>
        </is>
      </c>
      <c r="G31" s="8" t="inlineStr">
        <is>
          <t>Olathe</t>
        </is>
      </c>
      <c r="H31" s="8" t="inlineStr">
        <is>
          <t>KS</t>
        </is>
      </c>
      <c r="I31" s="9" t="inlineStr">
        <is>
          <t>66061</t>
        </is>
      </c>
      <c r="J31" s="8" t="inlineStr">
        <is>
          <t>(913) 712-8520</t>
        </is>
      </c>
      <c r="K31" s="8" t="inlineStr">
        <is>
          <t>1st Sat 1:00pm</t>
        </is>
      </c>
      <c r="L31" s="8" t="inlineStr">
        <is>
          <t>Food Pantry</t>
        </is>
      </c>
      <c r="M31" s="8" t="inlineStr"/>
      <c r="N31" s="8" t="inlineStr">
        <is>
          <t>Bring a box or bag.</t>
        </is>
      </c>
      <c r="O31" s="8" t="inlineStr"/>
      <c r="P31" s="8" t="inlineStr">
        <is>
          <t>Johnson County Aging &amp; Human Services – Community Food Pantries (jocogov.org)</t>
        </is>
      </c>
      <c r="Q31" s="8" t="inlineStr"/>
    </row>
    <row r="32">
      <c r="A32" s="7" t="inlineStr"/>
      <c r="B32" s="8" t="inlineStr">
        <is>
          <t>Approve</t>
        </is>
      </c>
      <c r="C32" s="8" t="inlineStr">
        <is>
          <t>Salem Lutheran Church Food Pantry</t>
        </is>
      </c>
      <c r="D32" s="8" t="inlineStr">
        <is>
          <t>Salem Lutheran Church</t>
        </is>
      </c>
      <c r="E32" s="8" t="inlineStr">
        <is>
          <t>food</t>
        </is>
      </c>
      <c r="F32" s="8" t="inlineStr">
        <is>
          <t>13402 W 92nd Street</t>
        </is>
      </c>
      <c r="G32" s="8" t="inlineStr">
        <is>
          <t>Lenexa</t>
        </is>
      </c>
      <c r="H32" s="8" t="inlineStr">
        <is>
          <t>KS</t>
        </is>
      </c>
      <c r="I32" s="9" t="inlineStr">
        <is>
          <t>66215</t>
        </is>
      </c>
      <c r="J32" s="8" t="inlineStr">
        <is>
          <t>(913) 888-5051</t>
        </is>
      </c>
      <c r="K32" s="8" t="inlineStr">
        <is>
          <t>Thu 8:15am-9:15am &amp; 5:00pm-7:00pm</t>
        </is>
      </c>
      <c r="L32" s="8" t="inlineStr">
        <is>
          <t>Food Pantry</t>
        </is>
      </c>
      <c r="M32" s="8" t="inlineStr">
        <is>
          <t>No ID required</t>
        </is>
      </c>
      <c r="N32" s="8" t="inlineStr"/>
      <c r="O32" s="8" t="inlineStr"/>
      <c r="P32" s="8" t="inlineStr">
        <is>
          <t>Johnson County Aging &amp; Human Services – Community Food Pantries (jocogov.org)</t>
        </is>
      </c>
      <c r="Q32" s="8" t="inlineStr"/>
    </row>
    <row r="33">
      <c r="A33" s="7" t="inlineStr"/>
      <c r="B33" s="8" t="inlineStr">
        <is>
          <t>Approve</t>
        </is>
      </c>
      <c r="C33" s="8" t="inlineStr">
        <is>
          <t>Santa Fe Waystation</t>
        </is>
      </c>
      <c r="D33" s="8" t="inlineStr">
        <is>
          <t>St. Mark's United Methodist Church</t>
        </is>
      </c>
      <c r="E33" s="8" t="inlineStr">
        <is>
          <t>food</t>
        </is>
      </c>
      <c r="F33" s="8" t="inlineStr">
        <is>
          <t>6422 Santa Fe Drive</t>
        </is>
      </c>
      <c r="G33" s="8" t="inlineStr">
        <is>
          <t>Overland Park</t>
        </is>
      </c>
      <c r="H33" s="8" t="inlineStr">
        <is>
          <t>KS</t>
        </is>
      </c>
      <c r="I33" s="9" t="inlineStr">
        <is>
          <t>66202</t>
        </is>
      </c>
      <c r="J33" s="8" t="inlineStr">
        <is>
          <t>(913) 722-1960</t>
        </is>
      </c>
      <c r="K33" s="8" t="inlineStr">
        <is>
          <t>Mon 9:00am-11:00am &amp; 5:00pm-7:00pm (drive-thru)</t>
        </is>
      </c>
      <c r="L33" s="8" t="inlineStr">
        <is>
          <t>Food Pantry</t>
        </is>
      </c>
      <c r="M33" s="8" t="inlineStr">
        <is>
          <t>No documentation needed</t>
        </is>
      </c>
      <c r="N33" s="8" t="inlineStr"/>
      <c r="O33" s="8" t="inlineStr"/>
      <c r="P33" s="8" t="inlineStr">
        <is>
          <t>Johnson County Aging &amp; Human Services – Community Food Pantries (jocogov.org)</t>
        </is>
      </c>
      <c r="Q33" s="8" t="inlineStr"/>
    </row>
    <row r="34">
      <c r="A34" s="7" t="inlineStr"/>
      <c r="B34" s="8" t="inlineStr">
        <is>
          <t>Approve</t>
        </is>
      </c>
      <c r="C34" s="8" t="inlineStr">
        <is>
          <t>Shawnee Community Services</t>
        </is>
      </c>
      <c r="D34" s="8" t="inlineStr">
        <is>
          <t>Shawnee Community Services</t>
        </is>
      </c>
      <c r="E34" s="8" t="inlineStr">
        <is>
          <t>food</t>
        </is>
      </c>
      <c r="F34" s="8" t="inlineStr">
        <is>
          <t>11110 W 67th Street</t>
        </is>
      </c>
      <c r="G34" s="8" t="inlineStr">
        <is>
          <t>Shawnee</t>
        </is>
      </c>
      <c r="H34" s="8" t="inlineStr">
        <is>
          <t>KS</t>
        </is>
      </c>
      <c r="I34" s="9" t="inlineStr">
        <is>
          <t>66203</t>
        </is>
      </c>
      <c r="J34" s="8" t="inlineStr">
        <is>
          <t>(913) 268-7746</t>
        </is>
      </c>
      <c r="K34" s="8" t="inlineStr">
        <is>
          <t>Mon-Sat 10:00am-3:00pm walk-in (bread and perishables); pantry boxes by appointment</t>
        </is>
      </c>
      <c r="L34" s="8" t="inlineStr">
        <is>
          <t>Food Pantry</t>
        </is>
      </c>
      <c r="M34" s="8" t="inlineStr"/>
      <c r="N34" s="8" t="inlineStr"/>
      <c r="O34" s="8" t="inlineStr"/>
      <c r="P34" s="8" t="inlineStr">
        <is>
          <t>Johnson County Aging &amp; Human Services – Community Food Pantries (jocogov.org)</t>
        </is>
      </c>
      <c r="Q34" s="8" t="inlineStr"/>
    </row>
    <row r="35">
      <c r="A35" s="7" t="inlineStr"/>
      <c r="B35" s="8" t="inlineStr">
        <is>
          <t>Approve</t>
        </is>
      </c>
      <c r="C35" s="8" t="inlineStr">
        <is>
          <t>Shawnee Mission Unitarian Universalist Church Food Pantry</t>
        </is>
      </c>
      <c r="D35" s="8" t="inlineStr">
        <is>
          <t>Shawnee Mission Unitarian Universalist Church</t>
        </is>
      </c>
      <c r="E35" s="8" t="inlineStr">
        <is>
          <t>food</t>
        </is>
      </c>
      <c r="F35" s="8" t="inlineStr">
        <is>
          <t>9400 Pflumm Road</t>
        </is>
      </c>
      <c r="G35" s="8" t="inlineStr">
        <is>
          <t>Lenexa</t>
        </is>
      </c>
      <c r="H35" s="8" t="inlineStr">
        <is>
          <t>KS</t>
        </is>
      </c>
      <c r="I35" s="9" t="inlineStr">
        <is>
          <t>66215</t>
        </is>
      </c>
      <c r="J35" s="8" t="inlineStr">
        <is>
          <t>(913) 228-2993</t>
        </is>
      </c>
      <c r="K35" s="8" t="inlineStr">
        <is>
          <t>2nd &amp; 4th Tue 2:00pm-5:45pm (by appointment)</t>
        </is>
      </c>
      <c r="L35" s="8" t="inlineStr">
        <is>
          <t>Food Pantry</t>
        </is>
      </c>
      <c r="M35" s="8" t="inlineStr"/>
      <c r="N35" s="8" t="inlineStr">
        <is>
          <t>Without an appointment you get a small pre-packed bag.</t>
        </is>
      </c>
      <c r="O35" s="8" t="inlineStr"/>
      <c r="P35" s="8" t="inlineStr">
        <is>
          <t>Johnson County Aging &amp; Human Services – Community Food Pantries (jocogov.org)</t>
        </is>
      </c>
      <c r="Q35" s="8" t="inlineStr"/>
    </row>
    <row r="36">
      <c r="A36" s="7" t="inlineStr"/>
      <c r="B36" s="8" t="inlineStr">
        <is>
          <t>Approve</t>
        </is>
      </c>
      <c r="C36" s="8" t="inlineStr">
        <is>
          <t>SouthWoods Christian Church - Loaves and Fishes</t>
        </is>
      </c>
      <c r="D36" s="8" t="inlineStr">
        <is>
          <t>SouthWoods Christian Church</t>
        </is>
      </c>
      <c r="E36" s="8" t="inlineStr">
        <is>
          <t>food</t>
        </is>
      </c>
      <c r="F36" s="8" t="inlineStr">
        <is>
          <t>7201 W 161st Street</t>
        </is>
      </c>
      <c r="G36" s="8" t="inlineStr">
        <is>
          <t>Overland Park</t>
        </is>
      </c>
      <c r="H36" s="8" t="inlineStr">
        <is>
          <t>KS</t>
        </is>
      </c>
      <c r="I36" s="9" t="inlineStr">
        <is>
          <t>66085</t>
        </is>
      </c>
      <c r="J36" s="8" t="inlineStr">
        <is>
          <t>(913) 681-5100</t>
        </is>
      </c>
      <c r="K36" s="8" t="inlineStr">
        <is>
          <t>3rd Sat 10:00am-12:00pm (drive-thru)</t>
        </is>
      </c>
      <c r="L36" s="8" t="inlineStr">
        <is>
          <t>Food Pantry</t>
        </is>
      </c>
      <c r="M36" s="8" t="inlineStr">
        <is>
          <t>Photo ID</t>
        </is>
      </c>
      <c r="N36" s="8" t="inlineStr"/>
      <c r="O36" s="8" t="inlineStr"/>
      <c r="P36" s="8" t="inlineStr">
        <is>
          <t>Johnson County Aging &amp; Human Services – Community Food Pantries (jocogov.org)</t>
        </is>
      </c>
      <c r="Q36" s="8" t="inlineStr"/>
    </row>
    <row r="37">
      <c r="A37" s="7" t="inlineStr"/>
      <c r="B37" s="8" t="inlineStr">
        <is>
          <t>Approve</t>
        </is>
      </c>
      <c r="C37" s="8" t="inlineStr">
        <is>
          <t>Spring Hill Food Pantry</t>
        </is>
      </c>
      <c r="D37" s="8" t="inlineStr">
        <is>
          <t>Life Springs Church</t>
        </is>
      </c>
      <c r="E37" s="8" t="inlineStr">
        <is>
          <t>food</t>
        </is>
      </c>
      <c r="F37" s="8" t="inlineStr">
        <is>
          <t>210 N Webster Street</t>
        </is>
      </c>
      <c r="G37" s="8" t="inlineStr">
        <is>
          <t>Spring Hill</t>
        </is>
      </c>
      <c r="H37" s="8" t="inlineStr">
        <is>
          <t>KS</t>
        </is>
      </c>
      <c r="I37" s="9" t="inlineStr">
        <is>
          <t>66083</t>
        </is>
      </c>
      <c r="J37" s="8" t="inlineStr">
        <is>
          <t>(913) 592-5433</t>
        </is>
      </c>
      <c r="K37" s="8" t="inlineStr">
        <is>
          <t>Thu 9:00am-10:30am &amp; 6:00pm-7:30pm (drive-thru only)</t>
        </is>
      </c>
      <c r="L37" s="8" t="inlineStr">
        <is>
          <t>Food Pantry</t>
        </is>
      </c>
      <c r="M37" s="8" t="inlineStr">
        <is>
          <t>Photo ID and proof of residency (Spring Hill, Gardner, Hillsdale, Paola, Olathe 66062); Social Security cards for children. Others: 1st &amp; 3rd Thu via Harvesters.</t>
        </is>
      </c>
      <c r="N37" s="8" t="inlineStr"/>
      <c r="O37" s="8" t="inlineStr"/>
      <c r="P37" s="8" t="inlineStr">
        <is>
          <t>Johnson County Aging &amp; Human Services – Community Food Pantries (jocogov.org)</t>
        </is>
      </c>
      <c r="Q37" s="8" t="inlineStr"/>
    </row>
    <row r="38">
      <c r="A38" s="7" t="inlineStr"/>
      <c r="B38" s="8" t="inlineStr">
        <is>
          <t>Approve</t>
        </is>
      </c>
      <c r="C38" s="8" t="inlineStr">
        <is>
          <t>Starfish Project</t>
        </is>
      </c>
      <c r="D38" s="8" t="inlineStr">
        <is>
          <t>Starfish Project</t>
        </is>
      </c>
      <c r="E38" s="8" t="inlineStr">
        <is>
          <t>food</t>
        </is>
      </c>
      <c r="F38" s="8" t="inlineStr">
        <is>
          <t>14920 W 119th Street</t>
        </is>
      </c>
      <c r="G38" s="8" t="inlineStr">
        <is>
          <t>Olathe</t>
        </is>
      </c>
      <c r="H38" s="8" t="inlineStr">
        <is>
          <t>KS</t>
        </is>
      </c>
      <c r="I38" s="9" t="inlineStr">
        <is>
          <t>66061</t>
        </is>
      </c>
      <c r="J38" s="8" t="inlineStr">
        <is>
          <t>(913) 839-8567</t>
        </is>
      </c>
      <c r="K38" s="8" t="inlineStr">
        <is>
          <t>Daily 9:00am-5:00pm</t>
        </is>
      </c>
      <c r="L38" s="8" t="inlineStr">
        <is>
          <t>Food Pantry</t>
        </is>
      </c>
      <c r="M38" s="8" t="inlineStr"/>
      <c r="N38" s="8" t="inlineStr">
        <is>
          <t>Temporary location; food only.</t>
        </is>
      </c>
      <c r="O38" s="8" t="inlineStr"/>
      <c r="P38" s="8" t="inlineStr">
        <is>
          <t>Johnson County Aging &amp; Human Services – Community Food Pantries (jocogov.org)</t>
        </is>
      </c>
      <c r="Q38" s="8" t="inlineStr"/>
    </row>
    <row r="39">
      <c r="A39" s="7" t="inlineStr"/>
      <c r="B39" s="8" t="inlineStr">
        <is>
          <t>Approve</t>
        </is>
      </c>
      <c r="C39" s="8" t="inlineStr">
        <is>
          <t>Stilwell Baptist Caring Ministry Food Pantry</t>
        </is>
      </c>
      <c r="D39" s="8" t="inlineStr">
        <is>
          <t>First Baptist Church of Stilwell</t>
        </is>
      </c>
      <c r="E39" s="8" t="inlineStr">
        <is>
          <t>food</t>
        </is>
      </c>
      <c r="F39" s="8" t="inlineStr">
        <is>
          <t>19950 Broadmoor Lane</t>
        </is>
      </c>
      <c r="G39" s="8" t="inlineStr">
        <is>
          <t>Stilwell</t>
        </is>
      </c>
      <c r="H39" s="8" t="inlineStr">
        <is>
          <t>KS</t>
        </is>
      </c>
      <c r="I39" s="9" t="inlineStr">
        <is>
          <t>66085</t>
        </is>
      </c>
      <c r="J39" s="8" t="inlineStr">
        <is>
          <t>(913) 449-6601</t>
        </is>
      </c>
      <c r="K39" s="8" t="inlineStr">
        <is>
          <t>2nd &amp; 4th Tue 2:00pm-4:00pm; Thu 6:00pm-7:00pm (drive-thru; call that day to pre-register)</t>
        </is>
      </c>
      <c r="L39" s="8" t="inlineStr">
        <is>
          <t>Food Pantry</t>
        </is>
      </c>
      <c r="M39" s="8" t="inlineStr">
        <is>
          <t>No residency or income requirements</t>
        </is>
      </c>
      <c r="N39" s="8" t="inlineStr"/>
      <c r="O39" s="8" t="inlineStr"/>
      <c r="P39" s="8" t="inlineStr">
        <is>
          <t>Johnson County Aging &amp; Human Services – Community Food Pantries (jocogov.org)</t>
        </is>
      </c>
      <c r="Q39" s="8" t="inlineStr"/>
    </row>
    <row r="40">
      <c r="A40" s="7" t="inlineStr"/>
      <c r="B40" s="8" t="inlineStr">
        <is>
          <t>Approve</t>
        </is>
      </c>
      <c r="C40" s="8" t="inlineStr">
        <is>
          <t>The Salvation Army - Olathe</t>
        </is>
      </c>
      <c r="D40" s="8" t="inlineStr">
        <is>
          <t>The Salvation Army</t>
        </is>
      </c>
      <c r="E40" s="8" t="inlineStr">
        <is>
          <t>food</t>
        </is>
      </c>
      <c r="F40" s="8" t="inlineStr">
        <is>
          <t>420 E Santa Fe Street</t>
        </is>
      </c>
      <c r="G40" s="8" t="inlineStr">
        <is>
          <t>Olathe</t>
        </is>
      </c>
      <c r="H40" s="8" t="inlineStr">
        <is>
          <t>KS</t>
        </is>
      </c>
      <c r="I40" s="9" t="inlineStr">
        <is>
          <t>66061</t>
        </is>
      </c>
      <c r="J40" s="8" t="inlineStr">
        <is>
          <t>(913) 782-3640</t>
        </is>
      </c>
      <c r="K40" s="8" t="inlineStr">
        <is>
          <t>Wed 3:00pm-6:00pm; Fri 9:00am-11:00am</t>
        </is>
      </c>
      <c r="L40" s="8" t="inlineStr">
        <is>
          <t>Food Pantry;Utility Assistance;Prescription Help</t>
        </is>
      </c>
      <c r="M40" s="8" t="inlineStr">
        <is>
          <t>Photo ID and proof of residency</t>
        </is>
      </c>
      <c r="N40" s="8" t="inlineStr">
        <is>
          <t>Also help with gas, electric and prescriptions for eligible low-income households. Market Church: 4th Sun 10am-12pm.</t>
        </is>
      </c>
      <c r="O40" s="8" t="inlineStr"/>
      <c r="P40" s="8" t="inlineStr">
        <is>
          <t>Johnson County Aging &amp; Human Services – Community Food Pantries (jocogov.org)</t>
        </is>
      </c>
      <c r="Q40" s="8" t="inlineStr"/>
    </row>
    <row r="41">
      <c r="A41" s="7" t="inlineStr"/>
      <c r="B41" s="8" t="inlineStr">
        <is>
          <t>Approve</t>
        </is>
      </c>
      <c r="C41" s="8" t="inlineStr">
        <is>
          <t>The Salvation Army Outpost - College Church of the Nazarene</t>
        </is>
      </c>
      <c r="D41" s="8" t="inlineStr">
        <is>
          <t>The Salvation Army</t>
        </is>
      </c>
      <c r="E41" s="8" t="inlineStr">
        <is>
          <t>food</t>
        </is>
      </c>
      <c r="F41" s="8" t="inlineStr">
        <is>
          <t>2020 E Sheridan Street</t>
        </is>
      </c>
      <c r="G41" s="8" t="inlineStr">
        <is>
          <t>Olathe</t>
        </is>
      </c>
      <c r="H41" s="8" t="inlineStr">
        <is>
          <t>KS</t>
        </is>
      </c>
      <c r="I41" s="9" t="inlineStr">
        <is>
          <t>66062</t>
        </is>
      </c>
      <c r="J41" s="8" t="inlineStr">
        <is>
          <t>(913) 489-6262</t>
        </is>
      </c>
      <c r="K41" s="8" t="inlineStr">
        <is>
          <t>Tue-Thu 9:30am-12:00pm &amp; 1:00pm-3:00pm</t>
        </is>
      </c>
      <c r="L41" s="8" t="inlineStr">
        <is>
          <t>Food Pantry</t>
        </is>
      </c>
      <c r="M41" s="8" t="inlineStr"/>
      <c r="N41" s="8" t="inlineStr">
        <is>
          <t>Use the Garrett entrance.</t>
        </is>
      </c>
      <c r="O41" s="8" t="inlineStr"/>
      <c r="P41" s="8" t="inlineStr">
        <is>
          <t>Johnson County Aging &amp; Human Services – Community Food Pantries (jocogov.org)</t>
        </is>
      </c>
      <c r="Q41" s="8" t="inlineStr"/>
    </row>
    <row r="42">
      <c r="A42" s="7" t="inlineStr"/>
      <c r="B42" s="8" t="inlineStr">
        <is>
          <t>Approve</t>
        </is>
      </c>
      <c r="C42" s="8" t="inlineStr">
        <is>
          <t>Tiny Pantry Times</t>
        </is>
      </c>
      <c r="D42" s="8" t="inlineStr">
        <is>
          <t>Tiny Pantry Times</t>
        </is>
      </c>
      <c r="E42" s="8" t="inlineStr">
        <is>
          <t>food</t>
        </is>
      </c>
      <c r="F42" s="8" t="inlineStr">
        <is>
          <t>7450 Conser Street</t>
        </is>
      </c>
      <c r="G42" s="8" t="inlineStr">
        <is>
          <t>Overland Park</t>
        </is>
      </c>
      <c r="H42" s="8" t="inlineStr">
        <is>
          <t>KS</t>
        </is>
      </c>
      <c r="I42" s="9" t="inlineStr">
        <is>
          <t>66204</t>
        </is>
      </c>
      <c r="J42" s="8" t="inlineStr"/>
      <c r="K42" s="8" t="inlineStr">
        <is>
          <t>Open daily; no appointment</t>
        </is>
      </c>
      <c r="L42" s="8" t="inlineStr">
        <is>
          <t>Food Pantry</t>
        </is>
      </c>
      <c r="M42" s="8" t="inlineStr"/>
      <c r="N42" s="8" t="inlineStr">
        <is>
          <t>Outdoor pantry, not inside the church.</t>
        </is>
      </c>
      <c r="O42" s="8" t="inlineStr"/>
      <c r="P42" s="8" t="inlineStr">
        <is>
          <t>Johnson County Aging &amp; Human Services – Community Food Pantries (jocogov.org)</t>
        </is>
      </c>
      <c r="Q42" s="8" t="inlineStr"/>
    </row>
    <row r="43">
      <c r="A43" s="7" t="inlineStr"/>
      <c r="B43" s="8" t="inlineStr">
        <is>
          <t>Call first</t>
        </is>
      </c>
      <c r="C43" s="8" t="inlineStr">
        <is>
          <t>Vaughn-Trent Community Services</t>
        </is>
      </c>
      <c r="D43" s="8" t="inlineStr">
        <is>
          <t>Vaughn-Trent Community Services</t>
        </is>
      </c>
      <c r="E43" s="8" t="inlineStr">
        <is>
          <t>food</t>
        </is>
      </c>
      <c r="F43" s="8" t="inlineStr">
        <is>
          <t>300 Oak Street</t>
        </is>
      </c>
      <c r="G43" s="8" t="inlineStr">
        <is>
          <t>Bonner Springs</t>
        </is>
      </c>
      <c r="H43" s="8" t="inlineStr">
        <is>
          <t>KS</t>
        </is>
      </c>
      <c r="I43" s="9" t="inlineStr">
        <is>
          <t>66012</t>
        </is>
      </c>
      <c r="J43" s="8" t="inlineStr"/>
      <c r="K43" s="8" t="inlineStr">
        <is>
          <t>Mon, Wed &amp; Fri 9:00am-12:00pm</t>
        </is>
      </c>
      <c r="L43" s="8" t="inlineStr">
        <is>
          <t>Food Pantry;Bread;Utility Assistance</t>
        </is>
      </c>
      <c r="M43" s="8" t="inlineStr">
        <is>
          <t>Residents of USD 204 (Bonner Springs &amp; Edwardsville)</t>
        </is>
      </c>
      <c r="N43" s="8" t="inlineStr"/>
      <c r="O43" s="8" t="inlineStr"/>
      <c r="P43" s="8" t="inlineStr">
        <is>
          <t>Unified Government Public Health Dept – Recovery Resource Booklet (2024)</t>
        </is>
      </c>
      <c r="Q43" s="8" t="inlineStr">
        <is>
          <t>The booklet repeats the Salvation Army's phone number for this listing, so it's left blank.</t>
        </is>
      </c>
    </row>
    <row r="44">
      <c r="A44" s="7" t="inlineStr"/>
      <c r="B44" s="8" t="inlineStr">
        <is>
          <t>Approve</t>
        </is>
      </c>
      <c r="C44" s="8" t="inlineStr">
        <is>
          <t>Village Presbyterian Church Food Pantry</t>
        </is>
      </c>
      <c r="D44" s="8" t="inlineStr">
        <is>
          <t>Village Presbyterian Church</t>
        </is>
      </c>
      <c r="E44" s="8" t="inlineStr">
        <is>
          <t>food</t>
        </is>
      </c>
      <c r="F44" s="8" t="inlineStr">
        <is>
          <t>9960 Mission Road</t>
        </is>
      </c>
      <c r="G44" s="8" t="inlineStr">
        <is>
          <t>Overland Park</t>
        </is>
      </c>
      <c r="H44" s="8" t="inlineStr">
        <is>
          <t>KS</t>
        </is>
      </c>
      <c r="I44" s="9" t="inlineStr">
        <is>
          <t>66206</t>
        </is>
      </c>
      <c r="J44" s="8" t="inlineStr">
        <is>
          <t>(913) 671-2315</t>
        </is>
      </c>
      <c r="K44" s="8" t="inlineStr">
        <is>
          <t>By appointment: call Mon-Fri 9:30am-2:30pm or Sat 9:30am-11:00am</t>
        </is>
      </c>
      <c r="L44" s="8" t="inlineStr">
        <is>
          <t>Food Pantry</t>
        </is>
      </c>
      <c r="M44" s="8" t="inlineStr"/>
      <c r="N44" s="8" t="inlineStr"/>
      <c r="O44" s="8" t="inlineStr"/>
      <c r="P44" s="8" t="inlineStr">
        <is>
          <t>Johnson County Aging &amp; Human Services – Community Food Pantries (jocogov.org)</t>
        </is>
      </c>
      <c r="Q44" s="8" t="inlineStr">
        <is>
          <t>County page gives ZIP 66207 for Overland Park; 9960 Mission Rd is in Leawood/66206, so check when pinning.</t>
        </is>
      </c>
    </row>
    <row r="45">
      <c r="A45" s="7" t="inlineStr"/>
      <c r="B45" s="8" t="inlineStr">
        <is>
          <t>Approve</t>
        </is>
      </c>
      <c r="C45" s="8" t="inlineStr">
        <is>
          <t>West Lenexa Seventh-day Adventist Church Food Pantry</t>
        </is>
      </c>
      <c r="D45" s="8" t="inlineStr">
        <is>
          <t>West Lenexa Seventh-day Adventist Church</t>
        </is>
      </c>
      <c r="E45" s="8" t="inlineStr">
        <is>
          <t>food</t>
        </is>
      </c>
      <c r="F45" s="8" t="inlineStr">
        <is>
          <t>24450 W 83rd Street</t>
        </is>
      </c>
      <c r="G45" s="8" t="inlineStr">
        <is>
          <t>Lenexa</t>
        </is>
      </c>
      <c r="H45" s="8" t="inlineStr">
        <is>
          <t>KS</t>
        </is>
      </c>
      <c r="I45" s="9" t="inlineStr">
        <is>
          <t>66227</t>
        </is>
      </c>
      <c r="J45" s="8" t="inlineStr">
        <is>
          <t>(913) 422-7282</t>
        </is>
      </c>
      <c r="K45" s="8" t="inlineStr">
        <is>
          <t>Wed 3:30pm-5:00pm</t>
        </is>
      </c>
      <c r="L45" s="8" t="inlineStr">
        <is>
          <t>Food Pantry</t>
        </is>
      </c>
      <c r="M45" s="8" t="inlineStr">
        <is>
          <t>Photo ID required</t>
        </is>
      </c>
      <c r="N45" s="8" t="inlineStr"/>
      <c r="O45" s="8" t="inlineStr"/>
      <c r="P45" s="8" t="inlineStr">
        <is>
          <t>Johnson County Aging &amp; Human Services – Community Food Pantries (jocogov.org)</t>
        </is>
      </c>
      <c r="Q45" s="8" t="inlineStr"/>
    </row>
    <row r="46">
      <c r="A46" s="7" t="inlineStr"/>
      <c r="B46" s="8" t="inlineStr">
        <is>
          <t>Approve</t>
        </is>
      </c>
      <c r="C46" s="8" t="inlineStr">
        <is>
          <t>Yachad - Kansas City's Kosher Food Pantry</t>
        </is>
      </c>
      <c r="D46" s="8" t="inlineStr">
        <is>
          <t>Yachad - Kansas City's Kosher Food Pantry</t>
        </is>
      </c>
      <c r="E46" s="8" t="inlineStr">
        <is>
          <t>food</t>
        </is>
      </c>
      <c r="F46" s="8" t="inlineStr">
        <is>
          <t>6201 Indian Creek Drive</t>
        </is>
      </c>
      <c r="G46" s="8" t="inlineStr">
        <is>
          <t>Overland Park</t>
        </is>
      </c>
      <c r="H46" s="8" t="inlineStr">
        <is>
          <t>KS</t>
        </is>
      </c>
      <c r="I46" s="9" t="inlineStr">
        <is>
          <t>66207</t>
        </is>
      </c>
      <c r="J46" s="8" t="inlineStr">
        <is>
          <t>(913) 649-4852</t>
        </is>
      </c>
      <c r="K46" s="8" t="inlineStr">
        <is>
          <t>By appointment</t>
        </is>
      </c>
      <c r="L46" s="8" t="inlineStr">
        <is>
          <t>Food Pantry</t>
        </is>
      </c>
      <c r="M46" s="8" t="inlineStr"/>
      <c r="N46" s="8" t="inlineStr"/>
      <c r="O46" s="8" t="inlineStr"/>
      <c r="P46" s="8" t="inlineStr">
        <is>
          <t>Johnson County Aging &amp; Human Services – Community Food Pantries (jocogov.org)</t>
        </is>
      </c>
      <c r="Q46" s="8" t="inlineStr"/>
    </row>
    <row r="47">
      <c r="A47" s="7" t="inlineStr"/>
      <c r="B47" s="8" t="inlineStr">
        <is>
          <t>Optional</t>
        </is>
      </c>
      <c r="C47" s="8" t="inlineStr">
        <is>
          <t>Behavioral Health Group - Kansas City, KS</t>
        </is>
      </c>
      <c r="D47" s="8" t="inlineStr">
        <is>
          <t>Behavioral Health Group</t>
        </is>
      </c>
      <c r="E47" s="8" t="inlineStr">
        <is>
          <t>health</t>
        </is>
      </c>
      <c r="F47" s="8" t="inlineStr">
        <is>
          <t>1125 N 5th Street</t>
        </is>
      </c>
      <c r="G47" s="8" t="inlineStr">
        <is>
          <t>Kansas City</t>
        </is>
      </c>
      <c r="H47" s="8" t="inlineStr">
        <is>
          <t>KS</t>
        </is>
      </c>
      <c r="I47" s="9" t="inlineStr">
        <is>
          <t>66101</t>
        </is>
      </c>
      <c r="J47" s="8" t="inlineStr"/>
      <c r="K47" s="8" t="inlineStr">
        <is>
          <t>Call for hours</t>
        </is>
      </c>
      <c r="L47" s="8" t="inlineStr">
        <is>
          <t>Medication-Assisted Treatment</t>
        </is>
      </c>
      <c r="M47" s="8" t="inlineStr"/>
      <c r="N47" s="8" t="inlineStr">
        <is>
          <t>Methadone and buprenorphine treatment for opioid use.</t>
        </is>
      </c>
      <c r="O47" s="8" t="inlineStr"/>
      <c r="P47" s="8" t="inlineStr">
        <is>
          <t>Unified Government Public Health Dept – Recovery Resource Booklet (2024)</t>
        </is>
      </c>
      <c r="Q47" s="8" t="inlineStr">
        <is>
          <t>The booklet doesn't give this clinic's phone.</t>
        </is>
      </c>
    </row>
    <row r="48">
      <c r="A48" s="7" t="inlineStr"/>
      <c r="B48" s="8" t="inlineStr">
        <is>
          <t>Optional</t>
        </is>
      </c>
      <c r="C48" s="8" t="inlineStr">
        <is>
          <t>Chautauqua Counseling Center</t>
        </is>
      </c>
      <c r="D48" s="8" t="inlineStr">
        <is>
          <t>Chautauqua Counseling Center</t>
        </is>
      </c>
      <c r="E48" s="8" t="inlineStr">
        <is>
          <t>health</t>
        </is>
      </c>
      <c r="F48" s="8" t="inlineStr">
        <is>
          <t>707 Minnesota Avenue, Suite 507</t>
        </is>
      </c>
      <c r="G48" s="8" t="inlineStr">
        <is>
          <t>Kansas City</t>
        </is>
      </c>
      <c r="H48" s="8" t="inlineStr">
        <is>
          <t>KS</t>
        </is>
      </c>
      <c r="I48" s="9" t="inlineStr">
        <is>
          <t>66101</t>
        </is>
      </c>
      <c r="J48" s="8" t="inlineStr">
        <is>
          <t>(913) 281-1995</t>
        </is>
      </c>
      <c r="K48" s="8" t="inlineStr">
        <is>
          <t>Call for hours</t>
        </is>
      </c>
      <c r="L48" s="8" t="inlineStr">
        <is>
          <t>Substance Use Treatment;Counseling</t>
        </is>
      </c>
      <c r="M48" s="8" t="inlineStr"/>
      <c r="N48" s="8" t="inlineStr">
        <is>
          <t>Outpatient substance use treatment and counseling. Accepts government-funded programs.</t>
        </is>
      </c>
      <c r="O48" s="8" t="inlineStr"/>
      <c r="P48" s="8" t="inlineStr">
        <is>
          <t>Unified Government Public Health Dept – Recovery Resource Booklet (2024)</t>
        </is>
      </c>
      <c r="Q48" s="8" t="inlineStr"/>
    </row>
    <row r="49">
      <c r="A49" s="7" t="inlineStr"/>
      <c r="B49" s="8" t="inlineStr">
        <is>
          <t>Approve</t>
        </is>
      </c>
      <c r="C49" s="8" t="inlineStr">
        <is>
          <t>Health Partnership Clinic - Olathe</t>
        </is>
      </c>
      <c r="D49" s="8" t="inlineStr">
        <is>
          <t>Health Partnership Clinic</t>
        </is>
      </c>
      <c r="E49" s="8" t="inlineStr">
        <is>
          <t>health</t>
        </is>
      </c>
      <c r="F49" s="8" t="inlineStr">
        <is>
          <t>407 S Claiborne Road</t>
        </is>
      </c>
      <c r="G49" s="8" t="inlineStr">
        <is>
          <t>Olathe</t>
        </is>
      </c>
      <c r="H49" s="8" t="inlineStr">
        <is>
          <t>KS</t>
        </is>
      </c>
      <c r="I49" s="9" t="inlineStr">
        <is>
          <t>66062</t>
        </is>
      </c>
      <c r="J49" s="8" t="inlineStr">
        <is>
          <t>(913) 648-2266</t>
        </is>
      </c>
      <c r="K49" s="8" t="inlineStr">
        <is>
          <t>Call for hours</t>
        </is>
      </c>
      <c r="L49" s="8" t="inlineStr">
        <is>
          <t>Medical;Mobile Health Care</t>
        </is>
      </c>
      <c r="M49" s="8" t="inlineStr"/>
      <c r="N49" s="8" t="inlineStr">
        <is>
          <t>Community health center. Mobile Integrated Health Care: (913) 334-8228.</t>
        </is>
      </c>
      <c r="O49" s="8" t="inlineStr">
        <is>
          <t>https://www.hpcks.org</t>
        </is>
      </c>
      <c r="P49" s="8" t="inlineStr">
        <is>
          <t>UCS Johnson County Emergency Assistance Guide (June 2026)</t>
        </is>
      </c>
      <c r="Q49" s="8" t="inlineStr"/>
    </row>
    <row r="50">
      <c r="A50" s="7" t="inlineStr"/>
      <c r="B50" s="8" t="inlineStr">
        <is>
          <t>Approve</t>
        </is>
      </c>
      <c r="C50" s="8" t="inlineStr">
        <is>
          <t>Heartland RADAC</t>
        </is>
      </c>
      <c r="D50" s="8" t="inlineStr">
        <is>
          <t>Heartland Regional Alcohol &amp; Drug Assessment Center</t>
        </is>
      </c>
      <c r="E50" s="8" t="inlineStr">
        <is>
          <t>health</t>
        </is>
      </c>
      <c r="F50" s="8" t="inlineStr">
        <is>
          <t>5500 Buena Vista Street, Suite 203</t>
        </is>
      </c>
      <c r="G50" s="8" t="inlineStr">
        <is>
          <t>Roeland Park</t>
        </is>
      </c>
      <c r="H50" s="8" t="inlineStr">
        <is>
          <t>KS</t>
        </is>
      </c>
      <c r="I50" s="9" t="inlineStr">
        <is>
          <t>66205</t>
        </is>
      </c>
      <c r="J50" s="8" t="inlineStr">
        <is>
          <t>(913) 789-0951</t>
        </is>
      </c>
      <c r="K50" s="8" t="inlineStr">
        <is>
          <t>Call for hours</t>
        </is>
      </c>
      <c r="L50" s="8" t="inlineStr">
        <is>
          <t>Substance Use Assessment;Referral;Case Management</t>
        </is>
      </c>
      <c r="M50" s="8" t="inlineStr"/>
      <c r="N50" s="8" t="inlineStr">
        <is>
          <t>Substance use assessment, referral and treatment. Toll-free (800) 281-0029.</t>
        </is>
      </c>
      <c r="O50" s="8" t="inlineStr"/>
      <c r="P50" s="8" t="inlineStr">
        <is>
          <t>UCS Johnson County Emergency Assistance Guide (June 2026)</t>
        </is>
      </c>
      <c r="Q50" s="8" t="inlineStr"/>
    </row>
    <row r="51">
      <c r="A51" s="7" t="inlineStr"/>
      <c r="B51" s="8" t="inlineStr">
        <is>
          <t>Approve</t>
        </is>
      </c>
      <c r="C51" s="8" t="inlineStr">
        <is>
          <t>Johnson County Health Department - Mission Clinic</t>
        </is>
      </c>
      <c r="D51" s="8" t="inlineStr">
        <is>
          <t>Johnson County Department of Health &amp; Environment</t>
        </is>
      </c>
      <c r="E51" s="8" t="inlineStr">
        <is>
          <t>health</t>
        </is>
      </c>
      <c r="F51" s="8" t="inlineStr">
        <is>
          <t>6000 Lamar Avenue</t>
        </is>
      </c>
      <c r="G51" s="8" t="inlineStr">
        <is>
          <t>Mission</t>
        </is>
      </c>
      <c r="H51" s="8" t="inlineStr">
        <is>
          <t>KS</t>
        </is>
      </c>
      <c r="I51" s="9" t="inlineStr">
        <is>
          <t>66202</t>
        </is>
      </c>
      <c r="J51" s="8" t="inlineStr">
        <is>
          <t>(913) 826-1200</t>
        </is>
      </c>
      <c r="K51" s="8" t="inlineStr">
        <is>
          <t>Call for hours</t>
        </is>
      </c>
      <c r="L51" s="8" t="inlineStr"/>
      <c r="M51" s="8" t="inlineStr"/>
      <c r="N51" s="8" t="inlineStr"/>
      <c r="O51" s="8" t="inlineStr"/>
      <c r="P51" s="8" t="inlineStr">
        <is>
          <t>UCS Johnson County Emergency Assistance Guide (June 2026)</t>
        </is>
      </c>
      <c r="Q51" s="8" t="inlineStr"/>
    </row>
    <row r="52">
      <c r="A52" s="7" t="inlineStr"/>
      <c r="B52" s="8" t="inlineStr">
        <is>
          <t>Approve</t>
        </is>
      </c>
      <c r="C52" s="8" t="inlineStr">
        <is>
          <t>Johnson County Health Department - Olathe Clinic</t>
        </is>
      </c>
      <c r="D52" s="8" t="inlineStr">
        <is>
          <t>Johnson County Department of Health &amp; Environment</t>
        </is>
      </c>
      <c r="E52" s="8" t="inlineStr">
        <is>
          <t>health</t>
        </is>
      </c>
      <c r="F52" s="8" t="inlineStr">
        <is>
          <t>1875 Sunset Drive, Suite 300</t>
        </is>
      </c>
      <c r="G52" s="8" t="inlineStr">
        <is>
          <t>Olathe</t>
        </is>
      </c>
      <c r="H52" s="8" t="inlineStr">
        <is>
          <t>KS</t>
        </is>
      </c>
      <c r="I52" s="9" t="inlineStr">
        <is>
          <t>66061</t>
        </is>
      </c>
      <c r="J52" s="8" t="inlineStr">
        <is>
          <t>(913) 894-2525</t>
        </is>
      </c>
      <c r="K52" s="8" t="inlineStr">
        <is>
          <t>Call for hours</t>
        </is>
      </c>
      <c r="L52" s="8" t="inlineStr"/>
      <c r="M52" s="8" t="inlineStr"/>
      <c r="N52" s="8" t="inlineStr"/>
      <c r="O52" s="8" t="inlineStr"/>
      <c r="P52" s="8" t="inlineStr">
        <is>
          <t>UCS Johnson County Emergency Assistance Guide (June 2026)</t>
        </is>
      </c>
      <c r="Q52" s="8" t="inlineStr"/>
    </row>
    <row r="53">
      <c r="A53" s="7" t="inlineStr"/>
      <c r="B53" s="8" t="inlineStr">
        <is>
          <t>Approve</t>
        </is>
      </c>
      <c r="C53" s="8" t="inlineStr">
        <is>
          <t>Johnson County Mental Health Center</t>
        </is>
      </c>
      <c r="D53" s="8" t="inlineStr">
        <is>
          <t>Johnson County Mental Health Center</t>
        </is>
      </c>
      <c r="E53" s="8" t="inlineStr">
        <is>
          <t>health</t>
        </is>
      </c>
      <c r="F53" s="8" t="inlineStr">
        <is>
          <t>Phone only</t>
        </is>
      </c>
      <c r="G53" s="8" t="inlineStr"/>
      <c r="H53" s="8" t="inlineStr"/>
      <c r="I53" s="9" t="inlineStr"/>
      <c r="J53" s="8" t="inlineStr">
        <is>
          <t>(913) 826-4200</t>
        </is>
      </c>
      <c r="K53" s="8" t="inlineStr">
        <is>
          <t>24/7</t>
        </is>
      </c>
      <c r="L53" s="8" t="inlineStr">
        <is>
          <t>Mental Health;Crisis Services</t>
        </is>
      </c>
      <c r="M53" s="8" t="inlineStr"/>
      <c r="N53" s="8" t="inlineStr"/>
      <c r="O53" s="8" t="inlineStr"/>
      <c r="P53" s="8" t="inlineStr">
        <is>
          <t>UCS Johnson County Emergency Assistance Guide (June 2026)</t>
        </is>
      </c>
      <c r="Q53" s="8" t="inlineStr">
        <is>
          <t>The guide gives the main line; 24/7 is the center's published crisis availability, so confirm.</t>
        </is>
      </c>
    </row>
    <row r="54">
      <c r="A54" s="7" t="inlineStr"/>
      <c r="B54" s="8" t="inlineStr">
        <is>
          <t>Call first</t>
        </is>
      </c>
      <c r="C54" s="8" t="inlineStr">
        <is>
          <t>Mercy and Truth Medical Missions - Kansas City, KS</t>
        </is>
      </c>
      <c r="D54" s="8" t="inlineStr">
        <is>
          <t>Mercy and Truth Medical Missions</t>
        </is>
      </c>
      <c r="E54" s="8" t="inlineStr">
        <is>
          <t>health</t>
        </is>
      </c>
      <c r="F54" s="8" t="inlineStr">
        <is>
          <t>721 N 31st Street</t>
        </is>
      </c>
      <c r="G54" s="8" t="inlineStr">
        <is>
          <t>Kansas City</t>
        </is>
      </c>
      <c r="H54" s="8" t="inlineStr">
        <is>
          <t>KS</t>
        </is>
      </c>
      <c r="I54" s="9" t="inlineStr">
        <is>
          <t>66102</t>
        </is>
      </c>
      <c r="J54" s="8" t="inlineStr">
        <is>
          <t>(913) 621-0074</t>
        </is>
      </c>
      <c r="K54" s="8" t="inlineStr">
        <is>
          <t>Mon-Fri 8:30am-12:00pm &amp; 12:30pm-5:00pm</t>
        </is>
      </c>
      <c r="L54" s="8" t="inlineStr">
        <is>
          <t>Medical;HIV Testing;Hep C Testing</t>
        </is>
      </c>
      <c r="M54" s="8" t="inlineStr">
        <is>
          <t>No documents or primary care doctor needed</t>
        </is>
      </c>
      <c r="N54" s="8" t="inlineStr"/>
      <c r="O54" s="8" t="inlineStr"/>
      <c r="P54" s="8" t="inlineStr">
        <is>
          <t>Unified Government Public Health Dept – Recovery Resource Booklet (2024)</t>
        </is>
      </c>
      <c r="Q54" s="8" t="inlineStr"/>
    </row>
    <row r="55">
      <c r="A55" s="7" t="inlineStr"/>
      <c r="B55" s="8" t="inlineStr">
        <is>
          <t>Approve</t>
        </is>
      </c>
      <c r="C55" s="8" t="inlineStr">
        <is>
          <t>Mercy and Truth Medical Missions - Shawnee</t>
        </is>
      </c>
      <c r="D55" s="8" t="inlineStr">
        <is>
          <t>Mercy and Truth Medical Missions</t>
        </is>
      </c>
      <c r="E55" s="8" t="inlineStr">
        <is>
          <t>health</t>
        </is>
      </c>
      <c r="F55" s="8" t="inlineStr">
        <is>
          <t>11644 W 75th Street</t>
        </is>
      </c>
      <c r="G55" s="8" t="inlineStr">
        <is>
          <t>Shawnee</t>
        </is>
      </c>
      <c r="H55" s="8" t="inlineStr">
        <is>
          <t>KS</t>
        </is>
      </c>
      <c r="I55" s="9" t="inlineStr">
        <is>
          <t>66214</t>
        </is>
      </c>
      <c r="J55" s="8" t="inlineStr">
        <is>
          <t>(913) 248-9965</t>
        </is>
      </c>
      <c r="K55" s="8" t="inlineStr">
        <is>
          <t>Call for hours</t>
        </is>
      </c>
      <c r="L55" s="8" t="inlineStr">
        <is>
          <t>Medical</t>
        </is>
      </c>
      <c r="M55" s="8" t="inlineStr"/>
      <c r="N55" s="8" t="inlineStr"/>
      <c r="O55" s="8" t="inlineStr">
        <is>
          <t>https://www.mercyandtruth.com/shawnee-clinic.html</t>
        </is>
      </c>
      <c r="P55" s="8" t="inlineStr">
        <is>
          <t>UCS Johnson County Emergency Assistance Guide (June 2026)</t>
        </is>
      </c>
      <c r="Q55" s="8" t="inlineStr"/>
    </row>
    <row r="56">
      <c r="A56" s="7" t="inlineStr"/>
      <c r="B56" s="8" t="inlineStr">
        <is>
          <t>Approve</t>
        </is>
      </c>
      <c r="C56" s="8" t="inlineStr">
        <is>
          <t>Vibrant Health - Central Clinic</t>
        </is>
      </c>
      <c r="D56" s="8" t="inlineStr">
        <is>
          <t>Vibrant Health</t>
        </is>
      </c>
      <c r="E56" s="8" t="inlineStr">
        <is>
          <t>health</t>
        </is>
      </c>
      <c r="F56" s="8" t="inlineStr">
        <is>
          <t>21 N 12th Street, Suite 300</t>
        </is>
      </c>
      <c r="G56" s="8" t="inlineStr">
        <is>
          <t>Kansas City</t>
        </is>
      </c>
      <c r="H56" s="8" t="inlineStr">
        <is>
          <t>KS</t>
        </is>
      </c>
      <c r="I56" s="9" t="inlineStr">
        <is>
          <t>66102</t>
        </is>
      </c>
      <c r="J56" s="8" t="inlineStr">
        <is>
          <t>(913) 222-8388</t>
        </is>
      </c>
      <c r="K56" s="8" t="inlineStr">
        <is>
          <t>Mon &amp; Fri 8:00am-5:00pm; Tue 7:30am-7:00pm; Wed-Thu 8:00am-7:00pm; Sat 8:00am-12:00pm (appointments required)</t>
        </is>
      </c>
      <c r="L56" s="8" t="inlineStr">
        <is>
          <t>Medical;Dental;Behavioral Health;Pharmacy;Women's Health;Pediatrics</t>
        </is>
      </c>
      <c r="M56" s="8" t="inlineStr">
        <is>
          <t>All patients; sliding fee scale. Help enrolling in Medicaid.</t>
        </is>
      </c>
      <c r="N56" s="8" t="inlineStr"/>
      <c r="O56" s="8" t="inlineStr"/>
      <c r="P56" s="8" t="inlineStr">
        <is>
          <t>United Way 211 listing</t>
        </is>
      </c>
      <c r="Q56" s="8" t="inlineStr">
        <is>
          <t>211 listing verified mid-2025.</t>
        </is>
      </c>
    </row>
    <row r="57">
      <c r="A57" s="7" t="inlineStr"/>
      <c r="B57" s="8" t="inlineStr">
        <is>
          <t>Approve</t>
        </is>
      </c>
      <c r="C57" s="8" t="inlineStr">
        <is>
          <t>Vibrant Health - Cordell D. Meeks Jr. Clinic</t>
        </is>
      </c>
      <c r="D57" s="8" t="inlineStr">
        <is>
          <t>Vibrant Health</t>
        </is>
      </c>
      <c r="E57" s="8" t="inlineStr">
        <is>
          <t>health</t>
        </is>
      </c>
      <c r="F57" s="8" t="inlineStr">
        <is>
          <t>4313 State Avenue</t>
        </is>
      </c>
      <c r="G57" s="8" t="inlineStr">
        <is>
          <t>Kansas City</t>
        </is>
      </c>
      <c r="H57" s="8" t="inlineStr">
        <is>
          <t>KS</t>
        </is>
      </c>
      <c r="I57" s="9" t="inlineStr">
        <is>
          <t>66102</t>
        </is>
      </c>
      <c r="J57" s="8" t="inlineStr">
        <is>
          <t>(913) 342-2552</t>
        </is>
      </c>
      <c r="K57" s="8" t="inlineStr">
        <is>
          <t>Mon-Fri 8:00am-5:00pm</t>
        </is>
      </c>
      <c r="L57" s="8" t="inlineStr">
        <is>
          <t>Pediatrics;Immunizations;Well-Child Exams</t>
        </is>
      </c>
      <c r="M57" s="8" t="inlineStr">
        <is>
          <t>Children and adolescents</t>
        </is>
      </c>
      <c r="N57" s="8" t="inlineStr">
        <is>
          <t>Same-day sick visits, immunizations, well-child exams and KAN Be Healthy screenings.</t>
        </is>
      </c>
      <c r="O57" s="8" t="inlineStr"/>
      <c r="P57" s="8" t="inlineStr">
        <is>
          <t>Unified Government Public Health Dept – Recovery Resource Booklet (2024)</t>
        </is>
      </c>
      <c r="Q57" s="8" t="inlineStr"/>
    </row>
    <row r="58">
      <c r="A58" s="7" t="inlineStr"/>
      <c r="B58" s="8" t="inlineStr">
        <is>
          <t>Approve</t>
        </is>
      </c>
      <c r="C58" s="8" t="inlineStr">
        <is>
          <t>Vibrant Health - Family Health Care Clinic</t>
        </is>
      </c>
      <c r="D58" s="8" t="inlineStr">
        <is>
          <t>Vibrant Health</t>
        </is>
      </c>
      <c r="E58" s="8" t="inlineStr">
        <is>
          <t>health</t>
        </is>
      </c>
      <c r="F58" s="8" t="inlineStr">
        <is>
          <t>340 Southwest Boulevard</t>
        </is>
      </c>
      <c r="G58" s="8" t="inlineStr">
        <is>
          <t>Kansas City</t>
        </is>
      </c>
      <c r="H58" s="8" t="inlineStr">
        <is>
          <t>KS</t>
        </is>
      </c>
      <c r="I58" s="9" t="inlineStr">
        <is>
          <t>66103</t>
        </is>
      </c>
      <c r="J58" s="8" t="inlineStr">
        <is>
          <t>(913) 320-0505</t>
        </is>
      </c>
      <c r="K58" s="8" t="inlineStr">
        <is>
          <t>Mon-Fri 8:00am-5:00pm; 2nd &amp; 4th Sat 8:00am-12:00pm</t>
        </is>
      </c>
      <c r="L58" s="8" t="inlineStr">
        <is>
          <t>Medical;Dental;Pharmacy</t>
        </is>
      </c>
      <c r="M58" s="8" t="inlineStr">
        <is>
          <t>All patients; sliding fee scale</t>
        </is>
      </c>
      <c r="N58" s="8" t="inlineStr"/>
      <c r="O58" s="8" t="inlineStr"/>
      <c r="P58" s="8" t="inlineStr">
        <is>
          <t>United Way 211 listing</t>
        </is>
      </c>
      <c r="Q58" s="8" t="inlineStr">
        <is>
          <t>211 listing verified mid-2025. JayDoc's free clinic meets here Mon &amp; Wed evenings.</t>
        </is>
      </c>
    </row>
    <row r="59">
      <c r="A59" s="7" t="inlineStr"/>
      <c r="B59" s="8" t="inlineStr">
        <is>
          <t>Approve</t>
        </is>
      </c>
      <c r="C59" s="8" t="inlineStr">
        <is>
          <t>Wyandot Center for Community Behavioral Healthcare</t>
        </is>
      </c>
      <c r="D59" s="8" t="inlineStr">
        <is>
          <t>Wyandot Center for Community Behavioral Healthcare</t>
        </is>
      </c>
      <c r="E59" s="8" t="inlineStr">
        <is>
          <t>health</t>
        </is>
      </c>
      <c r="F59" s="8" t="inlineStr">
        <is>
          <t>1301 N 47th Street</t>
        </is>
      </c>
      <c r="G59" s="8" t="inlineStr">
        <is>
          <t>Kansas City</t>
        </is>
      </c>
      <c r="H59" s="8" t="inlineStr">
        <is>
          <t>KS</t>
        </is>
      </c>
      <c r="I59" s="9" t="inlineStr">
        <is>
          <t>66102</t>
        </is>
      </c>
      <c r="J59" s="8" t="inlineStr">
        <is>
          <t>(913) 328-4600</t>
        </is>
      </c>
      <c r="K59" s="8" t="inlineStr">
        <is>
          <t>Mon-Fri 8:30am-5:00pm</t>
        </is>
      </c>
      <c r="L59" s="8" t="inlineStr">
        <is>
          <t>Mental Health;Case Management;Crisis Services;Substance Use</t>
        </is>
      </c>
      <c r="M59" s="8" t="inlineStr"/>
      <c r="N59" s="8" t="inlineStr">
        <is>
          <t>Outpatient mental health, medication management, therapy, case management and crisis services. RSI, a 24/7 sobering and psychiatric crisis center, is on site: (913) 956-5620.</t>
        </is>
      </c>
      <c r="O59" s="8" t="inlineStr"/>
      <c r="P59" s="8" t="inlineStr">
        <is>
          <t>Unified Government Public Health Dept – Recovery Resource Booklet (2024)</t>
        </is>
      </c>
      <c r="Q59" s="8" t="inlineStr">
        <is>
          <t>Wyandotte County's community mental health center.</t>
        </is>
      </c>
    </row>
    <row r="60">
      <c r="A60" s="7" t="inlineStr"/>
      <c r="B60" s="8" t="inlineStr">
        <is>
          <t>Call first</t>
        </is>
      </c>
      <c r="C60" s="8" t="inlineStr">
        <is>
          <t>Wyandotte County Public Health Department</t>
        </is>
      </c>
      <c r="D60" s="8" t="inlineStr">
        <is>
          <t>Unified Government of Wyandotte County</t>
        </is>
      </c>
      <c r="E60" s="8" t="inlineStr">
        <is>
          <t>health</t>
        </is>
      </c>
      <c r="F60" s="8" t="inlineStr">
        <is>
          <t>619 Ann Avenue</t>
        </is>
      </c>
      <c r="G60" s="8" t="inlineStr">
        <is>
          <t>Kansas City</t>
        </is>
      </c>
      <c r="H60" s="8" t="inlineStr">
        <is>
          <t>KS</t>
        </is>
      </c>
      <c r="I60" s="9" t="inlineStr">
        <is>
          <t>66101</t>
        </is>
      </c>
      <c r="J60" s="8" t="inlineStr">
        <is>
          <t>(913) 573-8855</t>
        </is>
      </c>
      <c r="K60" s="8" t="inlineStr">
        <is>
          <t>Mon, Tue, Wed &amp; Fri 8:30am-5:00pm; Thu 8:30am-12:00pm &amp; 3:00pm-6:00pm</t>
        </is>
      </c>
      <c r="L60" s="8" t="inlineStr">
        <is>
          <t>STI Testing;Family Planning;Immunizations</t>
        </is>
      </c>
      <c r="M60" s="8" t="inlineStr"/>
      <c r="N60" s="8" t="inlineStr"/>
      <c r="O60" s="8" t="inlineStr"/>
      <c r="P60" s="8" t="inlineStr">
        <is>
          <t>Unified Government Public Health Dept – Recovery Resource Booklet (2024)</t>
        </is>
      </c>
      <c r="Q60" s="8" t="inlineStr"/>
    </row>
    <row r="61">
      <c r="A61" s="7" t="inlineStr"/>
      <c r="B61" s="8" t="inlineStr">
        <is>
          <t>Approve</t>
        </is>
      </c>
      <c r="C61" s="8" t="inlineStr">
        <is>
          <t>Frank Williams Housing Resource Center</t>
        </is>
      </c>
      <c r="D61" s="8" t="inlineStr">
        <is>
          <t>Wyandot Center / Kim Wilson Housing</t>
        </is>
      </c>
      <c r="E61" s="8" t="inlineStr">
        <is>
          <t>hygiene</t>
        </is>
      </c>
      <c r="F61" s="8" t="inlineStr">
        <is>
          <t>1201 N 7th Street</t>
        </is>
      </c>
      <c r="G61" s="8" t="inlineStr">
        <is>
          <t>Kansas City</t>
        </is>
      </c>
      <c r="H61" s="8" t="inlineStr">
        <is>
          <t>KS</t>
        </is>
      </c>
      <c r="I61" s="9" t="inlineStr">
        <is>
          <t>66101</t>
        </is>
      </c>
      <c r="J61" s="8" t="inlineStr">
        <is>
          <t>(913) 956-4190</t>
        </is>
      </c>
      <c r="K61" s="8" t="inlineStr">
        <is>
          <t>Mon-Fri 8:30am-12:30pm</t>
        </is>
      </c>
      <c r="L61" s="8" t="inlineStr">
        <is>
          <t>Showers;Laundry;Phone;Computers;Mail</t>
        </is>
      </c>
      <c r="M61" s="8" t="inlineStr">
        <is>
          <t>People enrolled in, or wanting to enroll in, Wyandot Center or Kim Wilson Housing services</t>
        </is>
      </c>
      <c r="N61" s="8" t="inlineStr">
        <is>
          <t>Drop-in center for people experiencing homelessness: showers, laundry, phones, computers and connection to mental health and housing help.</t>
        </is>
      </c>
      <c r="O61" s="8" t="inlineStr"/>
      <c r="P61" s="8" t="inlineStr">
        <is>
          <t>United Way 211 listing</t>
        </is>
      </c>
      <c r="Q61" s="8" t="inlineStr">
        <is>
          <t>211 listing assured June 24, 2026.</t>
        </is>
      </c>
    </row>
    <row r="62">
      <c r="A62" s="7" t="inlineStr"/>
      <c r="B62" s="8" t="inlineStr">
        <is>
          <t>Call first</t>
        </is>
      </c>
      <c r="C62" s="8" t="inlineStr">
        <is>
          <t>Kim Wilson Housing</t>
        </is>
      </c>
      <c r="D62" s="8" t="inlineStr">
        <is>
          <t>Kim Wilson Housing</t>
        </is>
      </c>
      <c r="E62" s="8" t="inlineStr">
        <is>
          <t>shelter</t>
        </is>
      </c>
      <c r="F62" s="8" t="inlineStr">
        <is>
          <t>726 Armstrong Avenue</t>
        </is>
      </c>
      <c r="G62" s="8" t="inlineStr">
        <is>
          <t>Kansas City</t>
        </is>
      </c>
      <c r="H62" s="8" t="inlineStr">
        <is>
          <t>KS</t>
        </is>
      </c>
      <c r="I62" s="9" t="inlineStr">
        <is>
          <t>66101</t>
        </is>
      </c>
      <c r="J62" s="8" t="inlineStr">
        <is>
          <t>(913) 233-3356</t>
        </is>
      </c>
      <c r="K62" s="8" t="inlineStr">
        <is>
          <t>Mon-Fri 8:30am-12:30pm</t>
        </is>
      </c>
      <c r="L62" s="8" t="inlineStr">
        <is>
          <t>Permanent Supportive Housing;Rapid Rehousing;Rental Assistance;Case Management</t>
        </is>
      </c>
      <c r="M62" s="8" t="inlineStr"/>
      <c r="N62" s="8" t="inlineStr">
        <is>
          <t>Permanent supportive housing, rapid rehousing, rental assistance vouchers and homeless case management.</t>
        </is>
      </c>
      <c r="O62" s="8" t="inlineStr"/>
      <c r="P62" s="8" t="inlineStr">
        <is>
          <t>Unified Government Public Health Dept – Recovery Resource Booklet (2024)</t>
        </is>
      </c>
      <c r="Q62" s="8" t="inlineStr"/>
    </row>
    <row r="63">
      <c r="A63" s="7" t="inlineStr"/>
      <c r="B63" s="8" t="inlineStr">
        <is>
          <t>Approve</t>
        </is>
      </c>
      <c r="C63" s="8" t="inlineStr">
        <is>
          <t>Project 10/20 Cold Weather Shelter</t>
        </is>
      </c>
      <c r="D63" s="8" t="inlineStr">
        <is>
          <t>Project 10/20 Cold Weather Shelter</t>
        </is>
      </c>
      <c r="E63" s="8" t="inlineStr">
        <is>
          <t>shelter</t>
        </is>
      </c>
      <c r="F63" s="8" t="inlineStr">
        <is>
          <t>Call for location</t>
        </is>
      </c>
      <c r="G63" s="8" t="inlineStr"/>
      <c r="H63" s="8" t="inlineStr"/>
      <c r="I63" s="9" t="inlineStr"/>
      <c r="J63" s="8" t="inlineStr">
        <is>
          <t>(913) 219-3347</t>
        </is>
      </c>
      <c r="K63" s="8" t="inlineStr">
        <is>
          <t>Dec 1-Mar 31, nightly 6:00pm-8:00am</t>
        </is>
      </c>
      <c r="L63" s="8" t="inlineStr"/>
      <c r="M63" s="8" t="inlineStr">
        <is>
          <t>Adults</t>
        </is>
      </c>
      <c r="N63" s="8" t="inlineStr">
        <is>
          <t>Seasonal overnight shelter for adults in Johnson County. Year-round case management: (913) 228-2234.</t>
        </is>
      </c>
      <c r="O63" s="8" t="inlineStr"/>
      <c r="P63" s="8" t="inlineStr">
        <is>
          <t>UCS Johnson County Emergency Assistance Guide (June 2026)</t>
        </is>
      </c>
      <c r="Q63" s="8" t="inlineStr">
        <is>
          <t>Winter only. Warming and cooling centers: jocogov.org/cold and jocogov.org/heat.</t>
        </is>
      </c>
    </row>
    <row r="64">
      <c r="A64" s="7" t="inlineStr"/>
      <c r="B64" s="8" t="inlineStr">
        <is>
          <t>Approve</t>
        </is>
      </c>
      <c r="C64" s="8" t="inlineStr">
        <is>
          <t>Salvation Army Family Lodge</t>
        </is>
      </c>
      <c r="D64" s="8" t="inlineStr">
        <is>
          <t>The Salvation Army</t>
        </is>
      </c>
      <c r="E64" s="8" t="inlineStr">
        <is>
          <t>shelter</t>
        </is>
      </c>
      <c r="F64" s="8" t="inlineStr">
        <is>
          <t>Call for location</t>
        </is>
      </c>
      <c r="G64" s="8" t="inlineStr">
        <is>
          <t>Olathe</t>
        </is>
      </c>
      <c r="H64" s="8" t="inlineStr">
        <is>
          <t>KS</t>
        </is>
      </c>
      <c r="I64" s="9" t="inlineStr"/>
      <c r="J64" s="8" t="inlineStr">
        <is>
          <t>(913) 782-3640</t>
        </is>
      </c>
      <c r="K64" s="8" t="inlineStr">
        <is>
          <t>Call for availability</t>
        </is>
      </c>
      <c r="L64" s="8" t="inlineStr"/>
      <c r="M64" s="8" t="inlineStr">
        <is>
          <t>Families with minor children</t>
        </is>
      </c>
      <c r="N64" s="8" t="inlineStr">
        <is>
          <t>Family shelter in Olathe.</t>
        </is>
      </c>
      <c r="O64" s="8" t="inlineStr"/>
      <c r="P64" s="8" t="inlineStr">
        <is>
          <t>UCS Johnson County Emergency Assistance Guide (June 2026)</t>
        </is>
      </c>
      <c r="Q64" s="8" t="inlineStr"/>
    </row>
    <row r="65">
      <c r="A65" s="7" t="inlineStr"/>
      <c r="B65" s="8" t="inlineStr">
        <is>
          <t>Approve</t>
        </is>
      </c>
      <c r="C65" s="8" t="inlineStr">
        <is>
          <t>Shalom House Men's Transitional Living Program</t>
        </is>
      </c>
      <c r="D65" s="8" t="inlineStr">
        <is>
          <t>Shalom House</t>
        </is>
      </c>
      <c r="E65" s="8" t="inlineStr">
        <is>
          <t>shelter</t>
        </is>
      </c>
      <c r="F65" s="8" t="inlineStr">
        <is>
          <t>Call for location</t>
        </is>
      </c>
      <c r="G65" s="8" t="inlineStr"/>
      <c r="H65" s="8" t="inlineStr"/>
      <c r="I65" s="9" t="inlineStr"/>
      <c r="J65" s="8" t="inlineStr">
        <is>
          <t>(913) 321-2206</t>
        </is>
      </c>
      <c r="K65" s="8" t="inlineStr">
        <is>
          <t>Call for availability</t>
        </is>
      </c>
      <c r="L65" s="8" t="inlineStr"/>
      <c r="M65" s="8" t="inlineStr">
        <is>
          <t>Men</t>
        </is>
      </c>
      <c r="N65" s="8" t="inlineStr">
        <is>
          <t>Transitional living program for men in Kansas City, Kansas.</t>
        </is>
      </c>
      <c r="O65" s="8" t="inlineStr"/>
      <c r="P65" s="8" t="inlineStr">
        <is>
          <t>UCS Johnson County Emergency Assistance Guide (June 2026)</t>
        </is>
      </c>
      <c r="Q65" s="8" t="inlineStr"/>
    </row>
    <row r="66">
      <c r="A66" s="7" t="inlineStr"/>
      <c r="B66" s="8" t="inlineStr">
        <is>
          <t>Approve</t>
        </is>
      </c>
      <c r="C66" s="8" t="inlineStr">
        <is>
          <t>Willa Gill Center</t>
        </is>
      </c>
      <c r="D66" s="8" t="inlineStr">
        <is>
          <t>Unified Government of Wyandotte County</t>
        </is>
      </c>
      <c r="E66" s="8" t="inlineStr">
        <is>
          <t>shelter</t>
        </is>
      </c>
      <c r="F66" s="8" t="inlineStr">
        <is>
          <t>645 Nebraska Avenue</t>
        </is>
      </c>
      <c r="G66" s="8" t="inlineStr">
        <is>
          <t>Kansas City</t>
        </is>
      </c>
      <c r="H66" s="8" t="inlineStr">
        <is>
          <t>KS</t>
        </is>
      </c>
      <c r="I66" s="9" t="inlineStr">
        <is>
          <t>66101</t>
        </is>
      </c>
      <c r="J66" s="8" t="inlineStr">
        <is>
          <t>(913) 621-4690</t>
        </is>
      </c>
      <c r="K66" s="8" t="inlineStr">
        <is>
          <t>Meals daily (call for times); day center; overnight shelter in severe weather (doors 6:30pm-7:00am when open)</t>
        </is>
      </c>
      <c r="L66" s="8" t="inlineStr">
        <is>
          <t>Hot Meals;Day Center;Emergency Shelter;Cooling Center;Warming Center</t>
        </is>
      </c>
      <c r="M66" s="8" t="inlineStr"/>
      <c r="N66" s="8" t="inlineStr">
        <is>
          <t>Day center serving hundreds of people daily, a cooling center in summer and warming center in winter. Overnight shelter run by Cross-Lines: call (913) 725-0079 after 8am to hear if it opens that night.</t>
        </is>
      </c>
      <c r="O66" s="8" t="inlineStr"/>
      <c r="P66" s="8" t="inlineStr">
        <is>
          <t>KSHB (July 2026) + United Way 211</t>
        </is>
      </c>
      <c r="Q66" s="8" t="inlineStr">
        <is>
          <t>The center must relocate eventually for a KCKCC expansion; no move date yet (KSHB, July 2026). Shelter details are from a 2023 listing.</t>
        </is>
      </c>
    </row>
    <row r="67">
      <c r="A67" s="7" t="inlineStr"/>
      <c r="B67" s="8" t="inlineStr">
        <is>
          <t>Call first</t>
        </is>
      </c>
      <c r="C67" s="8" t="inlineStr">
        <is>
          <t>Economic Opportunity Foundation</t>
        </is>
      </c>
      <c r="D67" s="8" t="inlineStr">
        <is>
          <t>Economic Opportunity Foundation</t>
        </is>
      </c>
      <c r="E67" s="8" t="inlineStr">
        <is>
          <t>support</t>
        </is>
      </c>
      <c r="F67" s="8" t="inlineStr">
        <is>
          <t>1542 Minnesota Avenue</t>
        </is>
      </c>
      <c r="G67" s="8" t="inlineStr">
        <is>
          <t>Kansas City</t>
        </is>
      </c>
      <c r="H67" s="8" t="inlineStr">
        <is>
          <t>KS</t>
        </is>
      </c>
      <c r="I67" s="9" t="inlineStr">
        <is>
          <t>66102</t>
        </is>
      </c>
      <c r="J67" s="8" t="inlineStr">
        <is>
          <t>(913) 371-7800</t>
        </is>
      </c>
      <c r="K67" s="8" t="inlineStr">
        <is>
          <t>Mon-Fri 8:00am-4:30pm</t>
        </is>
      </c>
      <c r="L67" s="8" t="inlineStr">
        <is>
          <t>Emergency Assistance;Job Help;Case Management;Senior Commodities</t>
        </is>
      </c>
      <c r="M67" s="8" t="inlineStr"/>
      <c r="N67" s="8" t="inlineStr">
        <is>
          <t>Second office at 950 Quindaro Blvd, (913) 371-0848.</t>
        </is>
      </c>
      <c r="O67" s="8" t="inlineStr"/>
      <c r="P67" s="8" t="inlineStr">
        <is>
          <t>Unified Government Public Health Dept – Recovery Resource Booklet (2024)</t>
        </is>
      </c>
      <c r="Q67" s="8" t="inlineStr"/>
    </row>
    <row r="68">
      <c r="A68" s="7" t="inlineStr"/>
      <c r="B68" s="8" t="inlineStr">
        <is>
          <t>Approve</t>
        </is>
      </c>
      <c r="C68" s="8" t="inlineStr">
        <is>
          <t>Johnson County Housing Authority</t>
        </is>
      </c>
      <c r="D68" s="8" t="inlineStr">
        <is>
          <t>Johnson County Housing Authority</t>
        </is>
      </c>
      <c r="E68" s="8" t="inlineStr">
        <is>
          <t>support</t>
        </is>
      </c>
      <c r="F68" s="8" t="inlineStr">
        <is>
          <t>Phone only</t>
        </is>
      </c>
      <c r="G68" s="8" t="inlineStr"/>
      <c r="H68" s="8" t="inlineStr"/>
      <c r="I68" s="9" t="inlineStr"/>
      <c r="J68" s="8" t="inlineStr">
        <is>
          <t>(913) 715-6600</t>
        </is>
      </c>
      <c r="K68" s="8" t="inlineStr">
        <is>
          <t>Call for hours</t>
        </is>
      </c>
      <c r="L68" s="8" t="inlineStr">
        <is>
          <t>Housing Vouchers</t>
        </is>
      </c>
      <c r="M68" s="8" t="inlineStr"/>
      <c r="N68" s="8" t="inlineStr">
        <is>
          <t>Email HousingServices@jocogov.org.</t>
        </is>
      </c>
      <c r="O68" s="8" t="inlineStr">
        <is>
          <t>https://www.jocogov.org/housing</t>
        </is>
      </c>
      <c r="P68" s="8" t="inlineStr">
        <is>
          <t>UCS Johnson County Emergency Assistance Guide (June 2026)</t>
        </is>
      </c>
      <c r="Q68" s="8" t="inlineStr"/>
    </row>
    <row r="69">
      <c r="A69" s="7" t="inlineStr"/>
      <c r="B69" s="8" t="inlineStr">
        <is>
          <t>Call first</t>
        </is>
      </c>
      <c r="C69" s="8" t="inlineStr">
        <is>
          <t>Kansas City, Kansas Housing Authority</t>
        </is>
      </c>
      <c r="D69" s="8" t="inlineStr">
        <is>
          <t>Kansas City, Kansas Housing Authority</t>
        </is>
      </c>
      <c r="E69" s="8" t="inlineStr">
        <is>
          <t>support</t>
        </is>
      </c>
      <c r="F69" s="8" t="inlineStr">
        <is>
          <t>1124 N 9th Street</t>
        </is>
      </c>
      <c r="G69" s="8" t="inlineStr">
        <is>
          <t>Kansas City</t>
        </is>
      </c>
      <c r="H69" s="8" t="inlineStr">
        <is>
          <t>KS</t>
        </is>
      </c>
      <c r="I69" s="9" t="inlineStr">
        <is>
          <t>66101</t>
        </is>
      </c>
      <c r="J69" s="8" t="inlineStr">
        <is>
          <t>(913) 281-3300</t>
        </is>
      </c>
      <c r="K69" s="8" t="inlineStr">
        <is>
          <t>Mon-Fri 8:00am-4:30pm</t>
        </is>
      </c>
      <c r="L69" s="8" t="inlineStr">
        <is>
          <t>Public Housing;Housing Vouchers</t>
        </is>
      </c>
      <c r="M69" s="8" t="inlineStr"/>
      <c r="N69" s="8" t="inlineStr"/>
      <c r="O69" s="8" t="inlineStr"/>
      <c r="P69" s="8" t="inlineStr">
        <is>
          <t>Unified Government Public Health Dept – Recovery Resource Booklet (2024)</t>
        </is>
      </c>
      <c r="Q69" s="8" t="inlineStr"/>
    </row>
    <row r="70">
      <c r="A70" s="7" t="inlineStr"/>
      <c r="B70" s="8" t="inlineStr">
        <is>
          <t>Approve</t>
        </is>
      </c>
      <c r="C70" s="8" t="inlineStr">
        <is>
          <t>Olathe Housing Authority</t>
        </is>
      </c>
      <c r="D70" s="8" t="inlineStr">
        <is>
          <t>Olathe Housing Authority</t>
        </is>
      </c>
      <c r="E70" s="8" t="inlineStr">
        <is>
          <t>support</t>
        </is>
      </c>
      <c r="F70" s="8" t="inlineStr">
        <is>
          <t>17200 W 119th Street</t>
        </is>
      </c>
      <c r="G70" s="8" t="inlineStr">
        <is>
          <t>Olathe</t>
        </is>
      </c>
      <c r="H70" s="8" t="inlineStr">
        <is>
          <t>KS</t>
        </is>
      </c>
      <c r="I70" s="9" t="inlineStr">
        <is>
          <t>66061</t>
        </is>
      </c>
      <c r="J70" s="8" t="inlineStr">
        <is>
          <t>(913) 971-6260</t>
        </is>
      </c>
      <c r="K70" s="8" t="inlineStr">
        <is>
          <t>Call for hours</t>
        </is>
      </c>
      <c r="L70" s="8" t="inlineStr">
        <is>
          <t>Public Housing;Housing Vouchers</t>
        </is>
      </c>
      <c r="M70" s="8" t="inlineStr"/>
      <c r="N70" s="8" t="inlineStr"/>
      <c r="O70" s="8" t="inlineStr"/>
      <c r="P70" s="8" t="inlineStr">
        <is>
          <t>UCS Johnson County Emergency Assistance Guide (June 2026)</t>
        </is>
      </c>
      <c r="Q70" s="8" t="inlineStr"/>
    </row>
    <row r="71">
      <c r="A71" s="7" t="inlineStr"/>
      <c r="B71" s="8" t="inlineStr">
        <is>
          <t>Call first</t>
        </is>
      </c>
      <c r="C71" s="8" t="inlineStr">
        <is>
          <t>The Salvation Army - Kansas City, Kansas</t>
        </is>
      </c>
      <c r="D71" s="8" t="inlineStr">
        <is>
          <t>The Salvation Army</t>
        </is>
      </c>
      <c r="E71" s="8" t="inlineStr">
        <is>
          <t>support</t>
        </is>
      </c>
      <c r="F71" s="8" t="inlineStr">
        <is>
          <t>6723 State Avenue</t>
        </is>
      </c>
      <c r="G71" s="8" t="inlineStr">
        <is>
          <t>Kansas City</t>
        </is>
      </c>
      <c r="H71" s="8" t="inlineStr">
        <is>
          <t>KS</t>
        </is>
      </c>
      <c r="I71" s="9" t="inlineStr">
        <is>
          <t>66102</t>
        </is>
      </c>
      <c r="J71" s="8" t="inlineStr">
        <is>
          <t>(913) 232-5400</t>
        </is>
      </c>
      <c r="K71" s="8" t="inlineStr">
        <is>
          <t>Mon-Fri 8:30am-4:30pm</t>
        </is>
      </c>
      <c r="L71" s="8" t="inlineStr">
        <is>
          <t>Emergency Assistance;Supportive Housing;Veterans Housing</t>
        </is>
      </c>
      <c r="M71" s="8" t="inlineStr"/>
      <c r="N71" s="8" t="inlineStr">
        <is>
          <t>Emergency services office, Permanent Supportive Housing and Pathway of Hope. Transitional housing for veterans on campus.</t>
        </is>
      </c>
      <c r="O71" s="8" t="inlineStr"/>
      <c r="P71" s="8" t="inlineStr">
        <is>
          <t>Unified Government Public Health Dept – Recovery Resource Booklet (2024)</t>
        </is>
      </c>
      <c r="Q71" s="8" t="inlineStr"/>
    </row>
    <row r="72">
      <c r="A72" s="7" t="inlineStr"/>
      <c r="B72" s="8" t="inlineStr">
        <is>
          <t>Approve</t>
        </is>
      </c>
      <c r="C72" s="8" t="inlineStr">
        <is>
          <t>Workforce Partnership</t>
        </is>
      </c>
      <c r="D72" s="8" t="inlineStr">
        <is>
          <t>Workforce Partnership</t>
        </is>
      </c>
      <c r="E72" s="8" t="inlineStr">
        <is>
          <t>support</t>
        </is>
      </c>
      <c r="F72" s="8" t="inlineStr">
        <is>
          <t>8535 Bluejacket Street</t>
        </is>
      </c>
      <c r="G72" s="8" t="inlineStr">
        <is>
          <t>Lenexa</t>
        </is>
      </c>
      <c r="H72" s="8" t="inlineStr">
        <is>
          <t>KS</t>
        </is>
      </c>
      <c r="I72" s="9" t="inlineStr">
        <is>
          <t>66214</t>
        </is>
      </c>
      <c r="J72" s="8" t="inlineStr">
        <is>
          <t>(913) 577-5900</t>
        </is>
      </c>
      <c r="K72" s="8" t="inlineStr">
        <is>
          <t>Call for hours</t>
        </is>
      </c>
      <c r="L72" s="8" t="inlineStr">
        <is>
          <t>Job Help</t>
        </is>
      </c>
      <c r="M72" s="8" t="inlineStr"/>
      <c r="N72" s="8" t="inlineStr"/>
      <c r="O72" s="8" t="inlineStr"/>
      <c r="P72" s="8" t="inlineStr">
        <is>
          <t>UCS Johnson County Emergency Assistance Guide (June 2026)</t>
        </is>
      </c>
      <c r="Q72" s="8" t="inlineStr"/>
    </row>
    <row r="73">
      <c r="A73" s="7" t="inlineStr"/>
      <c r="B73" s="8" t="inlineStr">
        <is>
          <t>Call first</t>
        </is>
      </c>
      <c r="C73" s="8" t="inlineStr">
        <is>
          <t>KCK Public Schools McKinney-Vento Program</t>
        </is>
      </c>
      <c r="D73" s="8" t="inlineStr">
        <is>
          <t>Kansas City Kansas Public Schools</t>
        </is>
      </c>
      <c r="E73" s="8" t="inlineStr">
        <is>
          <t>youth</t>
        </is>
      </c>
      <c r="F73" s="8" t="inlineStr">
        <is>
          <t>Call for location</t>
        </is>
      </c>
      <c r="G73" s="8" t="inlineStr"/>
      <c r="H73" s="8" t="inlineStr"/>
      <c r="I73" s="9" t="inlineStr"/>
      <c r="J73" s="8" t="inlineStr">
        <is>
          <t>(913) 729-2150</t>
        </is>
      </c>
      <c r="K73" s="8" t="inlineStr">
        <is>
          <t>Mon-Fri 8:30am-12:30pm</t>
        </is>
      </c>
      <c r="L73" s="8" t="inlineStr">
        <is>
          <t>School Transportation;School Supplies;Hygiene Items;Referrals</t>
        </is>
      </c>
      <c r="M73" s="8" t="inlineStr">
        <is>
          <t>Students and families without stable housing (doubled up, in a motel, car, shelter or on the street)</t>
        </is>
      </c>
      <c r="N73" s="8" t="inlineStr">
        <is>
          <t>School rights and help for students experiencing homelessness: transportation, enrollment help, supplies, uniforms, referrals for food, clothing, housing and birth certificates.</t>
        </is>
      </c>
      <c r="O73" s="8" t="inlineStr"/>
      <c r="P73" s="8" t="inlineStr">
        <is>
          <t>Unified Government Public Health Dept – Recovery Resource Booklet (2024)</t>
        </is>
      </c>
      <c r="Q73" s="8" t="inlineStr"/>
    </row>
  </sheetData>
  <autoFilter ref="A1:Q73"/>
  <conditionalFormatting sqref="B2:B73">
    <cfRule type="expression" priority="1" dxfId="0">
      <formula>B2="Call first"</formula>
    </cfRule>
    <cfRule type="expression" priority="2" dxfId="1">
      <formula>B2="Approve"</formula>
    </cfRule>
  </conditionalFormatting>
  <dataValidations count="2">
    <dataValidation sqref="A2:A73" showDropDown="0" showInputMessage="0" showErrorMessage="0" allowBlank="1" errorTitle="Decision" error="Pick Approve or Reject." type="list">
      <formula1>"Approve,Reject"</formula1>
    </dataValidation>
    <dataValidation sqref="E2:E73" showDropDown="0" showInputMessage="0" showErrorMessage="0" allowBlank="0" type="list">
      <formula1>"food,shelter,health,hygiene,crisis,youth,veterans,support"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selection pane="bottomLeft"/>
      <selection pane="bottomRight" activeCell="A1" sqref="A1"/>
    </sheetView>
  </sheetViews>
  <sheetFormatPr baseColWidth="8" defaultRowHeight="15"/>
  <cols>
    <col width="34" customWidth="1" min="1" max="1"/>
    <col width="70" customWidth="1" min="2" max="2"/>
    <col width="34" customWidth="1" min="3" max="3"/>
    <col width="50" customWidth="1" min="4" max="4"/>
  </cols>
  <sheetData>
    <row r="1" ht="30" customHeight="1">
      <c r="A1" s="6" t="inlineStr">
        <is>
          <t>What</t>
        </is>
      </c>
      <c r="B1" s="6" t="inlineStr">
        <is>
          <t>Details</t>
        </is>
      </c>
      <c r="C1" s="6" t="inlineStr">
        <is>
          <t>Source</t>
        </is>
      </c>
      <c r="D1" s="6" t="inlineStr">
        <is>
          <t>Why it was left out</t>
        </is>
      </c>
    </row>
    <row r="2">
      <c r="A2" s="8" t="inlineStr">
        <is>
          <t>Jewish Family Services (Overland Park)</t>
        </is>
      </c>
      <c r="B2" s="8" t="inlineStr">
        <is>
          <t>5801 W 115th St, Suite 103</t>
        </is>
      </c>
      <c r="C2" s="8" t="inlineStr">
        <is>
          <t>Johnson County Aging &amp; Human Services – Community Food Pantries (jocogov.org)</t>
        </is>
      </c>
      <c r="D2" s="8" t="inlineStr">
        <is>
          <t>Not accepting new clients at this time. The Kansas City, MO location is in the Fall 2026 workbook.</t>
        </is>
      </c>
    </row>
    <row r="3">
      <c r="A3" s="8" t="inlineStr">
        <is>
          <t>Private addiction treatment programs</t>
        </is>
      </c>
      <c r="B3" s="8" t="inlineStr">
        <is>
          <t>Cottonwood Springs, Valley Hope, Hope Harbor KC, Serenity Counseling (Leavenworth), Addiction Stress Center, Alcohol Safety Action Project</t>
        </is>
      </c>
      <c r="C3" s="8" t="inlineStr">
        <is>
          <t>Unified Government Public Health Dept – Recovery Resource Booklet (2024)</t>
        </is>
      </c>
      <c r="D3" s="8" t="inlineStr">
        <is>
          <t>Paid or insurance-based programs, mostly for DUI or private treatment. Heartland RADAC is included as the free entry point for assessment.</t>
        </is>
      </c>
    </row>
    <row r="4">
      <c r="A4" s="8" t="inlineStr">
        <is>
          <t>Oxford Houses (Wyandotte County)</t>
        </is>
      </c>
      <c r="B4" s="8" t="inlineStr">
        <is>
          <t>Pitkin, Freeman II, Canaan, Alicia Sanson and others</t>
        </is>
      </c>
      <c r="C4" s="8" t="inlineStr">
        <is>
          <t>Unified Government Public Health Dept – Recovery Resource Booklet (2024)</t>
        </is>
      </c>
      <c r="D4" s="8" t="inlineStr">
        <is>
          <t>Private sober-living homes at residential addresses.</t>
        </is>
      </c>
    </row>
    <row r="5">
      <c r="A5" s="8" t="inlineStr">
        <is>
          <t>Child care resources</t>
        </is>
      </c>
      <c r="B5" s="8" t="inlineStr">
        <is>
          <t>Head Start, Parents as Teachers, Infant Toddler Services, The Daycare Connection, KDHE child care licensing</t>
        </is>
      </c>
      <c r="C5" s="8" t="inlineStr">
        <is>
          <t>UCS Johnson County Emergency Assistance Guide (June 2026)</t>
        </is>
      </c>
      <c r="D5" s="8" t="inlineStr">
        <is>
          <t>Child care, not this app's audience.</t>
        </is>
      </c>
    </row>
    <row r="6">
      <c r="A6" s="8" t="inlineStr">
        <is>
          <t>Kansas City, MO shelters in the UCS guide</t>
        </is>
      </c>
      <c r="B6" s="8" t="inlineStr">
        <is>
          <t>Shelter KC, reStart, City Union Mission, Crossroads (Independence), Synergy Services</t>
        </is>
      </c>
      <c r="C6" s="8" t="inlineStr">
        <is>
          <t>UCS Johnson County Emergency Assistance Guide (June 2026)</t>
        </is>
      </c>
      <c r="D6" s="8" t="inlineStr">
        <is>
          <t>Already listed, or in the Fall 2026 workbook.</t>
        </is>
      </c>
    </row>
    <row r="7">
      <c r="A7" s="8" t="inlineStr">
        <is>
          <t>Online portals</t>
        </is>
      </c>
      <c r="B7" s="8" t="inlineStr">
        <is>
          <t>Metro Lutheran Ministry Community Care Portal, Salvation Army Find Hope portal, KC Metro Youth Transitional Housing (bit.ly/kctlp), Kansas Housing (kshousingcorp.org)</t>
        </is>
      </c>
      <c r="C7" s="8" t="inlineStr">
        <is>
          <t>UCS Johnson County Emergency Assistance Guide (June 2026)</t>
        </is>
      </c>
      <c r="D7" s="8" t="inlineStr">
        <is>
          <t>Websites, not places.</t>
        </is>
      </c>
    </row>
    <row r="8">
      <c r="A8" s="8" t="inlineStr">
        <is>
          <t>Hillcrest Transitional Housing (Kansas sites)</t>
        </is>
      </c>
      <c r="B8" s="8" t="inlineStr">
        <is>
          <t>4 locations in Kansas and Missouri, apply online</t>
        </is>
      </c>
      <c r="C8" s="8" t="inlineStr">
        <is>
          <t>UCS Johnson County Emergency Assistance Guide (June 2026)</t>
        </is>
      </c>
      <c r="D8" s="8" t="inlineStr">
        <is>
          <t>The Independence youth program is in the Fall 2026 workbook; the main listing applies online.</t>
        </is>
      </c>
    </row>
  </sheetData>
  <autoFilter ref="A1:D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2026-10-12T12:38:17Z</dcterms:created>
  <dcterms:modified xsi:type="dcterms:W3CDTF">2026-10-12T12:38:17Z</dcterms:modified>
</cp:coreProperties>
</file>